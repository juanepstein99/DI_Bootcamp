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009f08545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 1 - IF" sheetId="1" r:id="R49b8891f9a814b63"/>
    <x:sheet xmlns:r="http://schemas.openxmlformats.org/officeDocument/2006/relationships" name="Exercise 2 - Holidays" sheetId="2" r:id="R37802b2d47a24ae4"/>
    <x:sheet xmlns:r="http://schemas.openxmlformats.org/officeDocument/2006/relationships" name="Exercise 3 - Oscars" sheetId="3" r:id="R8e3fa9b9b4f54adb"/>
    <x:sheet xmlns:r="http://schemas.openxmlformats.org/officeDocument/2006/relationships" name="Exercise 4 - Houses" sheetId="4" r:id="R5c5f0bb8e4b54344"/>
    <x:sheet xmlns:r="http://schemas.openxmlformats.org/officeDocument/2006/relationships" name="Exercise 5 - Films" sheetId="5" r:id="R55a5b731c106497c"/>
    <x:sheet xmlns:r="http://schemas.openxmlformats.org/officeDocument/2006/relationships" name="Exercise 5 - Summary" sheetId="6" r:id="R9f3755eecc86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0.0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adca920f2494b" /><Relationship Type="http://schemas.openxmlformats.org/officeDocument/2006/relationships/theme" Target="/xl/theme/theme1.xml" Id="Rbdcce8e9b24d4cb2" /><Relationship Type="http://schemas.openxmlformats.org/officeDocument/2006/relationships/sharedStrings" Target="/xl/sharedStrings.xml" Id="Ra876e36412144ae2" /><Relationship Type="http://schemas.openxmlformats.org/officeDocument/2006/relationships/worksheet" Target="/xl/worksheets/sheet1.xml" Id="R49b8891f9a814b63" /><Relationship Type="http://schemas.openxmlformats.org/officeDocument/2006/relationships/worksheet" Target="/xl/worksheets/sheet2.xml" Id="R37802b2d47a24ae4" /><Relationship Type="http://schemas.openxmlformats.org/officeDocument/2006/relationships/worksheet" Target="/xl/worksheets/sheet3.xml" Id="R8e3fa9b9b4f54adb" /><Relationship Type="http://schemas.openxmlformats.org/officeDocument/2006/relationships/worksheet" Target="/xl/worksheets/sheet4.xml" Id="R5c5f0bb8e4b54344" /><Relationship Type="http://schemas.openxmlformats.org/officeDocument/2006/relationships/worksheet" Target="/xl/worksheets/sheet5.xml" Id="R55a5b731c106497c" /><Relationship Type="http://schemas.openxmlformats.org/officeDocument/2006/relationships/worksheet" Target="/xl/worksheets/sheet6.xml" Id="R9f3755eecc864e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75d56e672d4b6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bb2f821108641e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f7c847e320c4a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Oscar Nominations by Certificate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Average Oscar Nominations</c:v>
          </c:tx>
          <c:cat>
            <c:strRef>
              <c:f>'Exercise 3 - Oscars'!$A$7:$A$13</c:f>
              <c:strCache>
                <c:ptCount val="0"/>
              </c:strCache>
            </c:strRef>
          </c:cat>
          <c:val>
            <c:numRef>
              <c:f>'Exercise 3 - Oscars'!$B$7:$B$13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Garden Size as % of Properties by Location Type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Urban %</c:v>
          </c:tx>
          <c:cat>
            <c:strRef>
              <c:f>'Exercise 4 - Houses'!$P$4:$P$7</c:f>
              <c:strCache>
                <c:ptCount val="0"/>
              </c:strCache>
            </c:strRef>
          </c:cat>
          <c:val>
            <c:numRef>
              <c:f>'Exercise 4 - Houses'!$Q$4:$Q$7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Non-Urban %</c:v>
          </c:tx>
          <c:cat>
            <c:strRef>
              <c:f>'Exercise 4 - Houses'!$P$4:$P$7</c:f>
              <c:strCache>
                <c:ptCount val="0"/>
              </c:strCache>
            </c:strRef>
          </c:cat>
          <c:val>
            <c:numRef>
              <c:f>'Exercise 4 - Houses'!$R$4:$R$7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Oscar Wins by Certificate — Australia &amp; New Zealand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Average Oscar Wins</c:v>
          </c:tx>
          <c:cat>
            <c:strRef>
              <c:f>'Exercise 5 - Summary'!$A$4:$A$10</c:f>
              <c:strCache>
                <c:ptCount val="0"/>
              </c:strCache>
            </c:strRef>
          </c:cat>
          <c:val>
            <c:numRef>
              <c:f>'Exercise 5 - Summary'!$B$4:$B$10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75d56e672d4b6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13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b2f821108641e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7c847e320c4a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lidaySourceTable" displayName="HolidaySourceTable" ref="A10:F38" headerRowCount="1" totalsRowCount="0" totalsRowShown="0">
  <x:tableColumns count="6">
    <x:tableColumn id="1" name="Country"/>
    <x:tableColumn id="2" name="Resort Name"/>
    <x:tableColumn id="3" name="No of Days"/>
    <x:tableColumn id="4" name="Travel Method"/>
    <x:tableColumn id="5" name="Price"/>
    <x:tableColumn id="6" name="Holiday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iesSourceEx3" displayName="MoviesSourceEx3" ref="J3:W1203" headerRowCount="1" totalsRowCount="0" totalsRowShown="0">
  <x:tableColumns count="14">
    <x:tableColumn id="1" name="ID"/>
    <x:tableColumn id="2" name="Title"/>
    <x:tableColumn id="3" name="Release Date"/>
    <x:tableColumn id="4" name="Run Time"/>
    <x:tableColumn id="5" name="Genre"/>
    <x:tableColumn id="6" name="Director"/>
    <x:tableColumn id="7" name="Studio"/>
    <x:tableColumn id="8" name="Country"/>
    <x:tableColumn id="9" name="Language"/>
    <x:tableColumn id="10" name="Certificate"/>
    <x:tableColumn id="11" name="Budget"/>
    <x:tableColumn id="12" name="Box Office"/>
    <x:tableColumn id="13" name="Nominations"/>
    <x:tableColumn id="14" name="Oscar Wi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ertySourceTable" displayName="PropertySourceTable" ref="A3:N59" headerRowCount="1" totalsRowCount="0" totalsRowShown="0">
  <x:tableColumns count="14">
    <x:tableColumn id="1" name="PostCode"/>
    <x:tableColumn id="2" name="Type"/>
    <x:tableColumn id="3" name="Location"/>
    <x:tableColumn id="4" name="Bedrooms"/>
    <x:tableColumn id="5" name="Bathrooms"/>
    <x:tableColumn id="6" name="Reception Rooms"/>
    <x:tableColumn id="7" name="Garden Size"/>
    <x:tableColumn id="8" name="Date on Market"/>
    <x:tableColumn id="9" name="Date Sold"/>
    <x:tableColumn id="10" name="Asking Price"/>
    <x:tableColumn id="11" name="Sale Price"/>
    <x:tableColumn id="12" name="Total Rooms"/>
    <x:tableColumn id="13" name="Location Group"/>
    <x:tableColumn id="14" name="Garden Size Cle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stralasianFilmsTable" displayName="AustralasianFilmsTable" ref="A3:N18" headerRowCount="1" totalsRowCount="0" totalsRowShown="0">
  <x:tableColumns count="14">
    <x:tableColumn id="1" name="ID"/>
    <x:tableColumn id="2" name="Title"/>
    <x:tableColumn id="3" name="Release Date"/>
    <x:tableColumn id="4" name="Run Time"/>
    <x:tableColumn id="5" name="Genre"/>
    <x:tableColumn id="6" name="Director"/>
    <x:tableColumn id="7" name="Studio"/>
    <x:tableColumn id="8" name="Country"/>
    <x:tableColumn id="9" name="Language"/>
    <x:tableColumn id="10" name="Certificate"/>
    <x:tableColumn id="11" name="Budget"/>
    <x:tableColumn id="12" name="Box Office"/>
    <x:tableColumn id="13" name="Nominations"/>
    <x:tableColumn id="14" name="Oscar Wi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9731d1a6246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ab5b66b46a0486d" /><Relationship Type="http://schemas.openxmlformats.org/officeDocument/2006/relationships/table" Target="/xl/tables/table2.xml" Id="R8aab34cb3827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fa21767170c4540" /><Relationship Type="http://schemas.openxmlformats.org/officeDocument/2006/relationships/table" Target="/xl/tables/table3.xml" Id="R673401d2c33c4c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c7f29964bf45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4da7bd288f224f41" /></Relationships>
</file>

<file path=xl/worksheets/sheet1.xml><?xml version="1.0" encoding="utf-8"?>
<x:worksheet xmlns:x="http://schemas.openxmlformats.org/spreadsheetml/2006/main">
  <x:sheetFormatPr defaultRowHeight="15"/>
  <x:cols>
    <x:col min="1" max="1" width="43.25" hidden="0" customWidth="1"/>
    <x:col min="2" max="2" width="5.75" hidden="0" customWidth="1"/>
    <x:col min="3" max="3" width="5.630000114440918" hidden="0" customWidth="1"/>
    <x:col min="4" max="4" width="42" hidden="0" customWidth="1"/>
    <x:col min="6" max="6" width="38" hidden="0" customWidth="1"/>
  </x:cols>
  <x:sheetData>
    <x:row r="1">
      <x:c r="A1" s="5" t="str">
        <x:v>Exercise 1 — IF Formula: Beetle Length</x:v>
      </x:c>
      <x:c r="B1" s="5"/>
      <x:c r="C1" s="5"/>
      <x:c r="D1" s="5"/>
      <x:c r="E1" s="5"/>
      <x:c r="F1" s="5"/>
    </x:row>
    <x:row r="3">
      <x:c r="A3" s="13" t="str">
        <x:v>Sample</x:v>
      </x:c>
      <x:c r="B3" s="13" t="str">
        <x:v>Length</x:v>
      </x:c>
      <x:c r="C3" s="13" t="str">
        <x:v>Result</x:v>
      </x:c>
      <x:c r="D3" s="13" t="str">
        <x:v>Extra Comment</x:v>
      </x:c>
      <x:c r="E3" s="13" t="str"/>
      <x:c r="F3" s="13" t="str">
        <x:v>Instructions / Notes</x:v>
      </x:c>
    </x:row>
    <x:row r="4">
      <x:c r="A4" t="str">
        <x:v>BE64</x:v>
      </x:c>
      <x:c r="B4" s="22" t="n">
        <x:v>20.7</x:v>
      </x:c>
      <x:c r="C4" t="str">
        <x:f>IF(B4&gt;$B$21,"LONG","SHORT")</x:f>
        <x:v>LONG</x:v>
      </x:c>
      <x:c r="D4" t="str">
        <x:f>IF(C4="LONG","This sample is "&amp;TEXT(B4-$B$21,"0.00")&amp;" longer than average","")</x:f>
        <x:v>This sample is 14.01 longer than average</x:v>
      </x:c>
      <x:c r="F4" s="26" t="str">
        <x:v>Final check value in B4 is 20.7.</x:v>
      </x:c>
    </x:row>
    <x:row r="5">
      <x:c r="A5" t="str">
        <x:v>BE98</x:v>
      </x:c>
      <x:c r="B5" s="22" t="n">
        <x:v>6.1</x:v>
      </x:c>
      <x:c r="C5" t="str">
        <x:f>IF(B5&gt;$B$21,"LONG","SHORT")</x:f>
        <x:v>SHORT</x:v>
      </x:c>
      <x:c r="D5" t="str">
        <x:f>IF(C5="LONG","This sample is "&amp;TEXT(B5-$B$21,"0.00")&amp;" longer than average","")</x:f>
      </x:c>
      <x:c r="F5" s="26" t="str">
        <x:v>C4:C20 compares each length with B21.</x:v>
      </x:c>
    </x:row>
    <x:row r="6">
      <x:c r="A6" t="str">
        <x:v>BE42</x:v>
      </x:c>
      <x:c r="B6" s="22" t="n">
        <x:v>2.9</x:v>
      </x:c>
      <x:c r="C6" t="str">
        <x:f>IF(B6&gt;$B$21,"LONG","SHORT")</x:f>
        <x:v>SHORT</x:v>
      </x:c>
      <x:c r="D6" t="str">
        <x:f>IF(C6="LONG","This sample is "&amp;TEXT(B6-$B$21,"0.00")&amp;" longer than average","")</x:f>
      </x:c>
      <x:c r="F6" s="26" t="str">
        <x:v>LONG = greater than average.</x:v>
      </x:c>
    </x:row>
    <x:row r="7">
      <x:c r="A7" t="str">
        <x:v>BE67</x:v>
      </x:c>
      <x:c r="B7" s="22" t="n">
        <x:v>3.5</x:v>
      </x:c>
      <x:c r="C7" t="str">
        <x:f>IF(B7&gt;$B$21,"LONG","SHORT")</x:f>
        <x:v>SHORT</x:v>
      </x:c>
      <x:c r="D7" t="str">
        <x:f>IF(C7="LONG","This sample is "&amp;TEXT(B7-$B$21,"0.00")&amp;" longer than average","")</x:f>
      </x:c>
      <x:c r="F7" s="26" t="str">
        <x:v>SHORT = otherwise.</x:v>
      </x:c>
    </x:row>
    <x:row r="8">
      <x:c r="A8" t="str">
        <x:v>BE66</x:v>
      </x:c>
      <x:c r="B8" s="22" t="n">
        <x:v>3.6</x:v>
      </x:c>
      <x:c r="C8" t="str">
        <x:f>IF(B8&gt;$B$21,"LONG","SHORT")</x:f>
        <x:v>SHORT</x:v>
      </x:c>
      <x:c r="D8" t="str">
        <x:f>IF(C8="LONG","This sample is "&amp;TEXT(B8-$B$21,"0.00")&amp;" longer than average","")</x:f>
      </x:c>
      <x:c r="F8" s="26" t="str">
        <x:v>D4:D20 is the optional challenge.</x:v>
      </x:c>
    </x:row>
    <x:row r="9">
      <x:c r="A9" t="str">
        <x:v>BE12</x:v>
      </x:c>
      <x:c r="B9" s="22" t="n">
        <x:v>3.8</x:v>
      </x:c>
      <x:c r="C9" t="str">
        <x:f>IF(B9&gt;$B$21,"LONG","SHORT")</x:f>
        <x:v>SHORT</x:v>
      </x:c>
      <x:c r="D9" t="str">
        <x:f>IF(C9="LONG","This sample is "&amp;TEXT(B9-$B$21,"0.00")&amp;" longer than average","")</x:f>
      </x:c>
      <x:c r="F9" s="26" t="str">
        <x:v>LONG rows show x.xx longer than average.</x:v>
      </x:c>
    </x:row>
    <x:row r="10">
      <x:c r="A10" t="str">
        <x:v>BE91</x:v>
      </x:c>
      <x:c r="B10" s="22" t="n">
        <x:v>6.9</x:v>
      </x:c>
      <x:c r="C10" t="str">
        <x:f>IF(B10&gt;$B$21,"LONG","SHORT")</x:f>
        <x:v>LONG</x:v>
      </x:c>
      <x:c r="D10" t="str">
        <x:f>IF(C10="LONG","This sample is "&amp;TEXT(B10-$B$21,"0.00")&amp;" longer than average","")</x:f>
        <x:v>This sample is 0.21 longer than average</x:v>
      </x:c>
      <x:c r="F10" s="26" t="str">
        <x:v>SHORT rows stay blank in D.</x:v>
      </x:c>
    </x:row>
    <x:row r="11">
      <x:c r="A11" t="str">
        <x:v>BE39</x:v>
      </x:c>
      <x:c r="B11" s="22" t="n">
        <x:v>8.1</x:v>
      </x:c>
      <x:c r="C11" t="str">
        <x:f>IF(B11&gt;$B$21,"LONG","SHORT")</x:f>
        <x:v>LONG</x:v>
      </x:c>
      <x:c r="D11" t="str">
        <x:f>IF(C11="LONG","This sample is "&amp;TEXT(B11-$B$21,"0.00")&amp;" longer than average","")</x:f>
        <x:v>This sample is 1.41 longer than average</x:v>
      </x:c>
      <x:c r="F11" s="26" t="str">
        <x:v>B21 recalculates automatically.</x:v>
      </x:c>
    </x:row>
    <x:row r="12">
      <x:c r="A12" t="str">
        <x:v>BE54</x:v>
      </x:c>
      <x:c r="B12" s="22" t="n">
        <x:v>5.3</x:v>
      </x:c>
      <x:c r="C12" t="str">
        <x:f>IF(B12&gt;$B$21,"LONG","SHORT")</x:f>
        <x:v>SHORT</x:v>
      </x:c>
      <x:c r="D12" t="str">
        <x:f>IF(C12="LONG","This sample is "&amp;TEXT(B12-$B$21,"0.00")&amp;" longer than average","")</x:f>
      </x:c>
    </x:row>
    <x:row r="13">
      <x:c r="A13" t="str">
        <x:v>BE19</x:v>
      </x:c>
      <x:c r="B13" s="22" t="n">
        <x:v>5.2</x:v>
      </x:c>
      <x:c r="C13" t="str">
        <x:f>IF(B13&gt;$B$21,"LONG","SHORT")</x:f>
        <x:v>SHORT</x:v>
      </x:c>
      <x:c r="D13" t="str">
        <x:f>IF(C13="LONG","This sample is "&amp;TEXT(B13-$B$21,"0.00")&amp;" longer than average","")</x:f>
      </x:c>
    </x:row>
    <x:row r="14">
      <x:c r="A14" t="str">
        <x:v>BE11</x:v>
      </x:c>
      <x:c r="B14" s="22" t="n">
        <x:v>4.7</x:v>
      </x:c>
      <x:c r="C14" t="str">
        <x:f>IF(B14&gt;$B$21,"LONG","SHORT")</x:f>
        <x:v>SHORT</x:v>
      </x:c>
      <x:c r="D14" t="str">
        <x:f>IF(C14="LONG","This sample is "&amp;TEXT(B14-$B$21,"0.00")&amp;" longer than average","")</x:f>
      </x:c>
    </x:row>
    <x:row r="15">
      <x:c r="A15" t="str">
        <x:v>BE44</x:v>
      </x:c>
      <x:c r="B15" s="22" t="n">
        <x:v>4.6</x:v>
      </x:c>
      <x:c r="C15" t="str">
        <x:f>IF(B15&gt;$B$21,"LONG","SHORT")</x:f>
        <x:v>SHORT</x:v>
      </x:c>
      <x:c r="D15" t="str">
        <x:f>IF(C15="LONG","This sample is "&amp;TEXT(B15-$B$21,"0.00")&amp;" longer than average","")</x:f>
      </x:c>
    </x:row>
    <x:row r="16">
      <x:c r="A16" t="str">
        <x:v>BE03</x:v>
      </x:c>
      <x:c r="B16" s="22" t="n">
        <x:v>7.4</x:v>
      </x:c>
      <x:c r="C16" t="str">
        <x:f>IF(B16&gt;$B$21,"LONG","SHORT")</x:f>
        <x:v>LONG</x:v>
      </x:c>
      <x:c r="D16" t="str">
        <x:f>IF(C16="LONG","This sample is "&amp;TEXT(B16-$B$21,"0.00")&amp;" longer than average","")</x:f>
        <x:v>This sample is 0.71 longer than average</x:v>
      </x:c>
    </x:row>
    <x:row r="17">
      <x:c r="A17" t="str">
        <x:v>BE17</x:v>
      </x:c>
      <x:c r="B17" s="22" t="n">
        <x:v>8.7</x:v>
      </x:c>
      <x:c r="C17" t="str">
        <x:f>IF(B17&gt;$B$21,"LONG","SHORT")</x:f>
        <x:v>LONG</x:v>
      </x:c>
      <x:c r="D17" t="str">
        <x:f>IF(C17="LONG","This sample is "&amp;TEXT(B17-$B$21,"0.00")&amp;" longer than average","")</x:f>
        <x:v>This sample is 2.01 longer than average</x:v>
      </x:c>
    </x:row>
    <x:row r="18">
      <x:c r="A18" t="str">
        <x:v>BE72</x:v>
      </x:c>
      <x:c r="B18" s="22" t="n">
        <x:v>6.2</x:v>
      </x:c>
      <x:c r="C18" t="str">
        <x:f>IF(B18&gt;$B$21,"LONG","SHORT")</x:f>
        <x:v>SHORT</x:v>
      </x:c>
      <x:c r="D18" t="str">
        <x:f>IF(C18="LONG","This sample is "&amp;TEXT(B18-$B$21,"0.00")&amp;" longer than average","")</x:f>
      </x:c>
    </x:row>
    <x:row r="19">
      <x:c r="A19" t="str">
        <x:v>BE73</x:v>
      </x:c>
      <x:c r="B19" s="22" t="n">
        <x:v>7.8</x:v>
      </x:c>
      <x:c r="C19" t="str">
        <x:f>IF(B19&gt;$B$21,"LONG","SHORT")</x:f>
        <x:v>LONG</x:v>
      </x:c>
      <x:c r="D19" t="str">
        <x:f>IF(C19="LONG","This sample is "&amp;TEXT(B19-$B$21,"0.00")&amp;" longer than average","")</x:f>
        <x:v>This sample is 1.11 longer than average</x:v>
      </x:c>
    </x:row>
    <x:row r="20">
      <x:c r="A20" t="str">
        <x:v>BE53</x:v>
      </x:c>
      <x:c r="B20" s="22" t="n">
        <x:v>8.2</x:v>
      </x:c>
      <x:c r="C20" t="str">
        <x:f>IF(B20&gt;$B$21,"LONG","SHORT")</x:f>
        <x:v>LONG</x:v>
      </x:c>
      <x:c r="D20" t="str">
        <x:f>IF(C20="LONG","This sample is "&amp;TEXT(B20-$B$21,"0.00")&amp;" longer than average","")</x:f>
        <x:v>This sample is 1.51 longer than average</x:v>
      </x:c>
    </x:row>
    <x:row r="21">
      <x:c r="A21" s="19" t="str">
        <x:v>Average</x:v>
      </x:c>
      <x:c r="B21" s="23" t="n">
        <x:f>AVERAGE(B4:B20)</x:f>
        <x:v>6.688235294117647</x:v>
      </x:c>
    </x:row>
  </x:sheetData>
  <x:mergeCells>
    <x:mergeCell ref="A1:F1"/>
  </x:mergeCells>
  <x:conditionalFormatting sqref="C4:C20">
    <x:cfRule type="expression" dxfId="0" priority="1">
      <x:formula>C4="LONG"</x:formula>
    </x:cfRule>
    <x:cfRule type="expression" dxfId="1" priority="2">
      <x:formula>C4="SHORT"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.380001068115234" hidden="0" customWidth="1"/>
    <x:col min="2" max="2" width="20" hidden="0" customWidth="1"/>
    <x:col min="3" max="3" width="11.25" hidden="0" customWidth="1"/>
    <x:col min="4" max="4" width="27.6299991607666" hidden="0" customWidth="1"/>
    <x:col min="5" max="5" width="10.380000114440918" hidden="0" customWidth="1"/>
    <x:col min="6" max="6" width="10.880000114440918" hidden="0" customWidth="1"/>
    <x:col min="7" max="7" width="11.630000114440918" hidden="0" customWidth="1"/>
    <x:col min="8" max="8" width="7.5" hidden="0" customWidth="1"/>
    <x:col min="9" max="9" width="8.380000114440918" hidden="0" customWidth="1"/>
  </x:cols>
  <x:sheetData>
    <x:row r="1">
      <x:c r="A1" s="5" t="str">
        <x:v>Exercise 2 — Holiday Pivot Analysis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3" t="str">
        <x:v>Pivot Criteria</x:v>
      </x:c>
      <x:c r="B3" s="13" t="str">
        <x:v>Value</x:v>
      </x:c>
      <x:c r="D3" s="29" t="str">
        <x:v>Drill-down: the 3 matching holidays</x:v>
      </x:c>
      <x:c r="E3" s="29"/>
      <x:c r="F3" s="29"/>
      <x:c r="G3" s="29"/>
      <x:c r="H3" s="29"/>
      <x:c r="I3" s="29"/>
    </x:row>
    <x:row r="4">
      <x:c r="A4" s="29" t="str">
        <x:v>Travel Method</x:v>
      </x:c>
      <x:c r="B4" t="str">
        <x:v>Plane</x:v>
      </x:c>
      <x:c r="D4" s="13" t="str">
        <x:v>Country</x:v>
      </x:c>
      <x:c r="E4" s="13" t="str">
        <x:v>Resort Name</x:v>
      </x:c>
      <x:c r="F4" s="13" t="str">
        <x:v>No of Days</x:v>
      </x:c>
      <x:c r="G4" s="13" t="str">
        <x:v>Travel Method</x:v>
      </x:c>
      <x:c r="H4" s="13" t="str">
        <x:v>Price</x:v>
      </x:c>
      <x:c r="I4" s="13" t="str">
        <x:v>Holiday ID</x:v>
      </x:c>
    </x:row>
    <x:row r="5">
      <x:c r="A5" s="29" t="str">
        <x:v>Resort Name</x:v>
      </x:c>
      <x:c r="B5" t="str">
        <x:v>Begins with S</x:v>
      </x:c>
      <x:c r="D5" t="str">
        <x:v>Chile</x:v>
      </x:c>
      <x:c r="E5" t="str">
        <x:v>Santiago</x:v>
      </x:c>
      <x:c r="F5" t="n">
        <x:v>21</x:v>
      </x:c>
      <x:c r="G5" t="str">
        <x:v>Plane</x:v>
      </x:c>
      <x:c r="H5" s="32" t="n">
        <x:v>1259</x:v>
      </x:c>
      <x:c r="I5" t="str">
        <x:v>CH266H</x:v>
      </x:c>
    </x:row>
    <x:row r="6">
      <x:c r="A6" s="29" t="str">
        <x:v>Holiday Count</x:v>
      </x:c>
      <x:c r="B6" t="n">
        <x:v>3</x:v>
      </x:c>
      <x:c r="D6" t="str">
        <x:v>Spain</x:v>
      </x:c>
      <x:c r="E6" t="str">
        <x:v>Seville</x:v>
      </x:c>
      <x:c r="F6" t="n">
        <x:v>14</x:v>
      </x:c>
      <x:c r="G6" t="str">
        <x:v>Plane</x:v>
      </x:c>
      <x:c r="H6" s="32" t="n">
        <x:v>288</x:v>
      </x:c>
      <x:c r="I6" t="str">
        <x:v>NM9876Y</x:v>
      </x:c>
    </x:row>
    <x:row r="7">
      <x:c r="A7" s="29" t="str">
        <x:v>Average Price</x:v>
      </x:c>
      <x:c r="B7" s="32" t="n">
        <x:v>582</x:v>
      </x:c>
      <x:c r="D7" t="str">
        <x:v>Spain</x:v>
      </x:c>
      <x:c r="E7" t="str">
        <x:v>Seville</x:v>
      </x:c>
      <x:c r="F7" t="n">
        <x:v>10</x:v>
      </x:c>
      <x:c r="G7" t="str">
        <x:v>Plane</x:v>
      </x:c>
      <x:c r="H7" s="32" t="n">
        <x:v>199</x:v>
      </x:c>
      <x:c r="I7" t="str">
        <x:v>TH8956SP</x:v>
      </x:c>
    </x:row>
    <x:row r="10">
      <x:c r="A10" s="13" t="str">
        <x:v>Country</x:v>
      </x:c>
      <x:c r="B10" s="13" t="str">
        <x:v>Resort Name</x:v>
      </x:c>
      <x:c r="C10" s="13" t="str">
        <x:v>No of Days</x:v>
      </x:c>
      <x:c r="D10" s="13" t="str">
        <x:v>Travel Method</x:v>
      </x:c>
      <x:c r="E10" s="13" t="str">
        <x:v>Price</x:v>
      </x:c>
      <x:c r="F10" s="13" t="str">
        <x:v>Holiday ID</x:v>
      </x:c>
    </x:row>
    <x:row r="11">
      <x:c r="A11" t="str">
        <x:v>Australia</x:v>
      </x:c>
      <x:c r="B11" t="str">
        <x:v>Great Barrier Reef</x:v>
      </x:c>
      <x:c r="C11" t="n">
        <x:v>32</x:v>
      </x:c>
      <x:c r="D11" t="str">
        <x:v>Plane</x:v>
      </x:c>
      <x:c r="E11" s="32" t="n">
        <x:v>750</x:v>
      </x:c>
      <x:c r="F11" t="str">
        <x:v>I990AUS</x:v>
      </x:c>
    </x:row>
    <x:row r="12">
      <x:c r="A12" t="str">
        <x:v>Australia</x:v>
      </x:c>
      <x:c r="B12" t="str">
        <x:v>Perth</x:v>
      </x:c>
      <x:c r="C12" t="n">
        <x:v>28</x:v>
      </x:c>
      <x:c r="D12" t="str">
        <x:v>Plane</x:v>
      </x:c>
      <x:c r="E12" s="32" t="n">
        <x:v>985</x:v>
      </x:c>
      <x:c r="F12" t="str">
        <x:v>AUS112J</x:v>
      </x:c>
    </x:row>
    <x:row r="13">
      <x:c r="A13" t="str">
        <x:v>Chile</x:v>
      </x:c>
      <x:c r="B13" t="str">
        <x:v>Santiago</x:v>
      </x:c>
      <x:c r="C13" t="n">
        <x:v>21</x:v>
      </x:c>
      <x:c r="D13" t="str">
        <x:v>Plane</x:v>
      </x:c>
      <x:c r="E13" s="32" t="n">
        <x:v>1259</x:v>
      </x:c>
      <x:c r="F13" t="str">
        <x:v>CH266H</x:v>
      </x:c>
    </x:row>
    <x:row r="14">
      <x:c r="A14" t="str">
        <x:v>England</x:v>
      </x:c>
      <x:c r="B14" t="str">
        <x:v>London</x:v>
      </x:c>
      <x:c r="C14" t="n">
        <x:v>3</x:v>
      </x:c>
      <x:c r="D14" t="str">
        <x:v>Train</x:v>
      </x:c>
      <x:c r="E14" s="32" t="n">
        <x:v>69</x:v>
      </x:c>
      <x:c r="F14" t="str">
        <x:v>I456UK</x:v>
      </x:c>
    </x:row>
    <x:row r="15">
      <x:c r="A15" t="str">
        <x:v>England</x:v>
      </x:c>
      <x:c r="B15" t="str">
        <x:v>Bognor</x:v>
      </x:c>
      <x:c r="C15" t="n">
        <x:v>1</x:v>
      </x:c>
      <x:c r="D15" t="str">
        <x:v>Coach</x:v>
      </x:c>
      <x:c r="E15" s="32" t="n">
        <x:v>12</x:v>
      </x:c>
      <x:c r="F15" t="str">
        <x:v>BG726H</x:v>
      </x:c>
    </x:row>
    <x:row r="16">
      <x:c r="A16" t="str">
        <x:v>France</x:v>
      </x:c>
      <x:c r="B16" t="str">
        <x:v>Lyon</x:v>
      </x:c>
      <x:c r="C16" t="n">
        <x:v>14</x:v>
      </x:c>
      <x:c r="D16" t="str">
        <x:v>Plane</x:v>
      </x:c>
      <x:c r="E16" s="32" t="n">
        <x:v>399</x:v>
      </x:c>
      <x:c r="F16" t="str">
        <x:v>A7995FR</x:v>
      </x:c>
    </x:row>
    <x:row r="17">
      <x:c r="A17" t="str">
        <x:v>France</x:v>
      </x:c>
      <x:c r="B17" t="str">
        <x:v>Paris - Euro Disney</x:v>
      </x:c>
      <x:c r="C17" t="n">
        <x:v>5</x:v>
      </x:c>
      <x:c r="D17" t="str">
        <x:v>Train</x:v>
      </x:c>
      <x:c r="E17" s="32" t="n">
        <x:v>269</x:v>
      </x:c>
      <x:c r="F17" t="str">
        <x:v>TH789FR</x:v>
      </x:c>
    </x:row>
    <x:row r="18">
      <x:c r="A18" t="str">
        <x:v>France</x:v>
      </x:c>
      <x:c r="B18" t="str">
        <x:v>Paris - Euro Disney</x:v>
      </x:c>
      <x:c r="C18" t="n">
        <x:v>3</x:v>
      </x:c>
      <x:c r="D18" t="str">
        <x:v>Train</x:v>
      </x:c>
      <x:c r="E18" s="32" t="n">
        <x:v>125</x:v>
      </x:c>
      <x:c r="F18" t="str">
        <x:v>TH788FR</x:v>
      </x:c>
    </x:row>
    <x:row r="19">
      <x:c r="A19" t="str">
        <x:v>France</x:v>
      </x:c>
      <x:c r="B19" t="str">
        <x:v>Nice</x:v>
      </x:c>
      <x:c r="C19" t="n">
        <x:v>7</x:v>
      </x:c>
      <x:c r="D19" t="str">
        <x:v>Plane</x:v>
      </x:c>
      <x:c r="E19" s="32" t="n">
        <x:v>289</x:v>
      </x:c>
      <x:c r="F19" t="str">
        <x:v>I7897FR</x:v>
      </x:c>
    </x:row>
    <x:row r="20">
      <x:c r="A20" t="str">
        <x:v>France</x:v>
      </x:c>
      <x:c r="B20" t="str">
        <x:v>Toulouse</x:v>
      </x:c>
      <x:c r="C20" t="n">
        <x:v>7</x:v>
      </x:c>
      <x:c r="D20" t="str">
        <x:v>Train</x:v>
      </x:c>
      <x:c r="E20" s="32" t="n">
        <x:v>256</x:v>
      </x:c>
      <x:c r="F20" t="str">
        <x:v>SG7637L</x:v>
      </x:c>
    </x:row>
    <x:row r="21">
      <x:c r="A21" t="str">
        <x:v>France</x:v>
      </x:c>
      <x:c r="B21" t="str">
        <x:v>Nimes</x:v>
      </x:c>
      <x:c r="C21" t="n">
        <x:v>7</x:v>
      </x:c>
      <x:c r="D21" t="str">
        <x:v>Plane</x:v>
      </x:c>
      <x:c r="E21" s="32" t="n">
        <x:v>287</x:v>
      </x:c>
      <x:c r="F21" t="str">
        <x:v>FR5625J</x:v>
      </x:c>
    </x:row>
    <x:row r="22">
      <x:c r="A22" t="str">
        <x:v>Germany</x:v>
      </x:c>
      <x:c r="B22" t="str">
        <x:v>Black Forest</x:v>
      </x:c>
      <x:c r="C22" t="n">
        <x:v>4</x:v>
      </x:c>
      <x:c r="D22" t="str">
        <x:v>Coach</x:v>
      </x:c>
      <x:c r="E22" s="32" t="n">
        <x:v>69</x:v>
      </x:c>
      <x:c r="F22" t="str">
        <x:v>A111G</x:v>
      </x:c>
    </x:row>
    <x:row r="23">
      <x:c r="A23" t="str">
        <x:v>Germany</x:v>
      </x:c>
      <x:c r="B23" t="str">
        <x:v>Berlin</x:v>
      </x:c>
      <x:c r="C23" t="n">
        <x:v>7</x:v>
      </x:c>
      <x:c r="D23" t="str">
        <x:v>Coach</x:v>
      </x:c>
      <x:c r="E23" s="32" t="n">
        <x:v>289</x:v>
      </x:c>
      <x:c r="F23" t="str">
        <x:v>BR6736G</x:v>
      </x:c>
    </x:row>
    <x:row r="24">
      <x:c r="A24" t="str">
        <x:v>Peru</x:v>
      </x:c>
      <x:c r="B24" t="str">
        <x:v>Lima</x:v>
      </x:c>
      <x:c r="C24" t="n">
        <x:v>21</x:v>
      </x:c>
      <x:c r="D24" t="str">
        <x:v>Plane</x:v>
      </x:c>
      <x:c r="E24" s="32" t="n">
        <x:v>975</x:v>
      </x:c>
      <x:c r="F24" t="str">
        <x:v>PG7836G</x:v>
      </x:c>
    </x:row>
    <x:row r="25">
      <x:c r="A25" t="str">
        <x:v>Saudi Arabia</x:v>
      </x:c>
      <x:c r="B25" t="str">
        <x:v>Riyadh</x:v>
      </x:c>
      <x:c r="C25" t="n">
        <x:v>14</x:v>
      </x:c>
      <x:c r="D25" t="str">
        <x:v>Plane</x:v>
      </x:c>
      <x:c r="E25" s="32" t="n">
        <x:v>995</x:v>
      </x:c>
      <x:c r="F25" t="str">
        <x:v>KSA8987</x:v>
      </x:c>
    </x:row>
    <x:row r="26">
      <x:c r="A26" t="str">
        <x:v>Spain</x:v>
      </x:c>
      <x:c r="B26" t="str">
        <x:v>Barcelona</x:v>
      </x:c>
      <x:c r="C26" t="n">
        <x:v>4</x:v>
      </x:c>
      <x:c r="D26" t="str">
        <x:v>Train</x:v>
      </x:c>
      <x:c r="E26" s="32" t="n">
        <x:v>219</x:v>
      </x:c>
      <x:c r="F26" t="str">
        <x:v>I6675SP</x:v>
      </x:c>
    </x:row>
    <x:row r="27">
      <x:c r="A27" t="str">
        <x:v>Spain</x:v>
      </x:c>
      <x:c r="B27" t="str">
        <x:v>Nerja</x:v>
      </x:c>
      <x:c r="C27" t="n">
        <x:v>6</x:v>
      </x:c>
      <x:c r="D27" t="str">
        <x:v>Plane</x:v>
      </x:c>
      <x:c r="E27" s="32" t="n">
        <x:v>198</x:v>
      </x:c>
      <x:c r="F27" t="str">
        <x:v>TH990ESP</x:v>
      </x:c>
    </x:row>
    <x:row r="28">
      <x:c r="A28" t="str">
        <x:v>Spain</x:v>
      </x:c>
      <x:c r="B28" t="str">
        <x:v>Malaga</x:v>
      </x:c>
      <x:c r="C28" t="n">
        <x:v>16</x:v>
      </x:c>
      <x:c r="D28" t="str">
        <x:v>Plane</x:v>
      </x:c>
      <x:c r="E28" s="32" t="n">
        <x:v>234</x:v>
      </x:c>
      <x:c r="F28" t="str">
        <x:v>A776ESP</x:v>
      </x:c>
    </x:row>
    <x:row r="29">
      <x:c r="A29" t="str">
        <x:v>Spain</x:v>
      </x:c>
      <x:c r="B29" t="str">
        <x:v>Seville</x:v>
      </x:c>
      <x:c r="C29" t="n">
        <x:v>14</x:v>
      </x:c>
      <x:c r="D29" t="str">
        <x:v>Plane</x:v>
      </x:c>
      <x:c r="E29" s="32" t="n">
        <x:v>288</x:v>
      </x:c>
      <x:c r="F29" t="str">
        <x:v>NM9876Y</x:v>
      </x:c>
    </x:row>
    <x:row r="30">
      <x:c r="A30" t="str">
        <x:v>Spain</x:v>
      </x:c>
      <x:c r="B30" t="str">
        <x:v>Seville</x:v>
      </x:c>
      <x:c r="C30" t="n">
        <x:v>10</x:v>
      </x:c>
      <x:c r="D30" t="str">
        <x:v>Plane</x:v>
      </x:c>
      <x:c r="E30" s="32" t="n">
        <x:v>199</x:v>
      </x:c>
      <x:c r="F30" t="str">
        <x:v>TH8956SP</x:v>
      </x:c>
    </x:row>
    <x:row r="31">
      <x:c r="A31" t="str">
        <x:v>Spain</x:v>
      </x:c>
      <x:c r="B31" t="str">
        <x:v>Barcelona</x:v>
      </x:c>
      <x:c r="C31" t="n">
        <x:v>8</x:v>
      </x:c>
      <x:c r="D31" t="str">
        <x:v>Plane</x:v>
      </x:c>
      <x:c r="E31" s="32" t="n">
        <x:v>177</x:v>
      </x:c>
      <x:c r="F31" t="str">
        <x:v>AJ9836L</x:v>
      </x:c>
    </x:row>
    <x:row r="32">
      <x:c r="A32" t="str">
        <x:v>Spain</x:v>
      </x:c>
      <x:c r="B32" t="str">
        <x:v>Barcelona</x:v>
      </x:c>
      <x:c r="C32" t="n">
        <x:v>7</x:v>
      </x:c>
      <x:c r="D32" t="str">
        <x:v>Coach</x:v>
      </x:c>
      <x:c r="E32" s="32" t="n">
        <x:v>199</x:v>
      </x:c>
      <x:c r="F32" t="str">
        <x:v>GG9836P</x:v>
      </x:c>
    </x:row>
    <x:row r="33">
      <x:c r="A33" t="str">
        <x:v>Spain</x:v>
      </x:c>
      <x:c r="B33" t="str">
        <x:v>Malaga</x:v>
      </x:c>
      <x:c r="C33" t="n">
        <x:v>14</x:v>
      </x:c>
      <x:c r="D33" t="str">
        <x:v>Plane</x:v>
      </x:c>
      <x:c r="E33" s="32" t="n">
        <x:v>301</x:v>
      </x:c>
      <x:c r="F33" t="str">
        <x:v>PL8726P</x:v>
      </x:c>
    </x:row>
    <x:row r="34">
      <x:c r="A34" t="str">
        <x:v>Spain</x:v>
      </x:c>
      <x:c r="B34" t="str">
        <x:v>Barcelona</x:v>
      </x:c>
      <x:c r="C34" t="n">
        <x:v>4</x:v>
      </x:c>
      <x:c r="D34" t="str">
        <x:v>Train</x:v>
      </x:c>
      <x:c r="E34" s="32" t="n">
        <x:v>219</x:v>
      </x:c>
      <x:c r="F34" t="str">
        <x:v>I6675SP</x:v>
      </x:c>
    </x:row>
    <x:row r="35">
      <x:c r="A35" t="str">
        <x:v>Spain</x:v>
      </x:c>
      <x:c r="B35" t="str">
        <x:v>Seville</x:v>
      </x:c>
      <x:c r="C35" t="n">
        <x:v>14</x:v>
      </x:c>
      <x:c r="D35" t="str">
        <x:v>Train</x:v>
      </x:c>
      <x:c r="E35" s="32" t="n">
        <x:v>299</x:v>
      </x:c>
      <x:c r="F35" t="str">
        <x:v>SV767HH</x:v>
      </x:c>
    </x:row>
    <x:row r="36">
      <x:c r="A36" t="str">
        <x:v>Spain</x:v>
      </x:c>
      <x:c r="B36" t="str">
        <x:v>Madrid</x:v>
      </x:c>
      <x:c r="C36" t="n">
        <x:v>8</x:v>
      </x:c>
      <x:c r="D36" t="str">
        <x:v>Plane</x:v>
      </x:c>
      <x:c r="E36" s="32" t="n">
        <x:v>277</x:v>
      </x:c>
      <x:c r="F36" t="str">
        <x:v>WE6735L</x:v>
      </x:c>
    </x:row>
    <x:row r="37">
      <x:c r="A37" t="str">
        <x:v>Spain</x:v>
      </x:c>
      <x:c r="B37" t="str">
        <x:v>Granada</x:v>
      </x:c>
      <x:c r="C37" t="n">
        <x:v>10</x:v>
      </x:c>
      <x:c r="D37" t="str">
        <x:v>Plane</x:v>
      </x:c>
      <x:c r="E37" s="32" t="n">
        <x:v>345</x:v>
      </x:c>
      <x:c r="F37" t="str">
        <x:v>GR7878G</x:v>
      </x:c>
    </x:row>
    <x:row r="38">
      <x:c r="A38" t="str">
        <x:v>Trinidad</x:v>
      </x:c>
      <x:c r="B38" t="str">
        <x:v>Port of Spain</x:v>
      </x:c>
      <x:c r="C38" t="n">
        <x:v>14</x:v>
      </x:c>
      <x:c r="D38" t="str">
        <x:v>Plane</x:v>
      </x:c>
      <x:c r="E38" s="32" t="n">
        <x:v>885</x:v>
      </x:c>
      <x:c r="F38" t="str">
        <x:v>TT67624G</x:v>
      </x:c>
    </x:row>
  </x:sheetData>
  <x:mergeCells>
    <x:mergeCell ref="A1:I1"/>
    <x:mergeCell ref="D3:I3"/>
  </x:mergeCells>
  <x:pageMargins left="0.7" right="0.7" top="0.75" bottom="0.75" header="0.3" footer="0.3"/>
  <x:tableParts count="1">
    <x:tablePart xmlns:r="http://schemas.openxmlformats.org/officeDocument/2006/relationships" r:id="R7ae9731d1a6246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.880001068115234" hidden="0" customWidth="1"/>
    <x:col min="2" max="2" width="42" hidden="0" customWidth="1"/>
    <x:col min="10" max="10" width="4.75" hidden="0" customWidth="1"/>
    <x:col min="11" max="11" width="36" hidden="0" customWidth="1"/>
    <x:col min="12" max="12" width="12.880000114440918" hidden="0" customWidth="1"/>
    <x:col min="13" max="13" width="10.25" hidden="0" customWidth="1"/>
    <x:col min="14" max="14" width="11.5" hidden="0" customWidth="1"/>
    <x:col min="15" max="15" width="14.5" hidden="0" customWidth="1"/>
    <x:col min="16" max="16" width="20" hidden="0" customWidth="1"/>
    <x:col min="17" max="17" width="12.630000114440918" hidden="0" customWidth="1"/>
    <x:col min="18" max="18" width="10.25" hidden="0" customWidth="1"/>
    <x:col min="19" max="19" width="10.880000114440918" hidden="0" customWidth="1"/>
    <x:col min="20" max="20" width="8.880000114440918" hidden="0" customWidth="1"/>
    <x:col min="21" max="21" width="10.75" hidden="0" customWidth="1"/>
    <x:col min="22" max="22" width="12.880000114440918" hidden="0" customWidth="1"/>
    <x:col min="23" max="23" width="11.630000114440918" hidden="0" customWidth="1"/>
  </x:cols>
  <x:sheetData>
    <x:row r="1">
      <x:c r="A1" s="5" t="str">
        <x:v>Exercise 3 — Average Oscar Nominations by Certificate</x:v>
      </x:c>
      <x:c r="B1" s="5"/>
      <x:c r="C1" s="5"/>
      <x:c r="D1" s="5"/>
      <x:c r="E1" s="5"/>
      <x:c r="F1" s="5"/>
      <x:c r="G1" s="5"/>
      <x:c r="H1" s="5"/>
    </x:row>
    <x:row r="3">
      <x:c r="A3" s="29" t="str">
        <x:v>Genre selector</x:v>
      </x:c>
      <x:c r="B3" t="str">
        <x:v>Adventure</x:v>
      </x:c>
      <x:c r="J3" s="13" t="str">
        <x:v>ID</x:v>
      </x:c>
      <x:c r="K3" s="13" t="str">
        <x:v>Title</x:v>
      </x:c>
      <x:c r="L3" s="13" t="str">
        <x:v>Release Date</x:v>
      </x:c>
      <x:c r="M3" s="13" t="str">
        <x:v>Run Time</x:v>
      </x:c>
      <x:c r="N3" s="13" t="str">
        <x:v>Genre</x:v>
      </x:c>
      <x:c r="O3" s="13" t="str">
        <x:v>Director</x:v>
      </x:c>
      <x:c r="P3" s="13" t="str">
        <x:v>Studio</x:v>
      </x:c>
      <x:c r="Q3" s="13" t="str">
        <x:v>Country</x:v>
      </x:c>
      <x:c r="R3" s="13" t="str">
        <x:v>Language</x:v>
      </x:c>
      <x:c r="S3" s="13" t="str">
        <x:v>Certificate</x:v>
      </x:c>
      <x:c r="T3" s="13" t="str">
        <x:v>Budget</x:v>
      </x:c>
      <x:c r="U3" s="13" t="str">
        <x:v>Box Office</x:v>
      </x:c>
      <x:c r="V3" s="13" t="str">
        <x:v>Nominations</x:v>
      </x:c>
      <x:c r="W3" s="13" t="str">
        <x:v>Oscar Wins</x:v>
      </x:c>
    </x:row>
    <x:row r="4">
      <x:c r="A4" s="29" t="str">
        <x:v>How to use</x:v>
      </x:c>
      <x:c r="B4" s="26" t="str">
        <x:v>Choose a genre from the dropdown to update the summary and chart.</x:v>
      </x:c>
      <x:c r="J4" t="n">
        <x:v>1</x:v>
      </x:c>
      <x:c r="K4" t="str">
        <x:v>Jurassic Park</x:v>
      </x:c>
      <x:c r="L4" t="n">
        <x:v>34131</x:v>
      </x:c>
      <x:c r="M4" t="n">
        <x:v>126</x:v>
      </x:c>
      <x:c r="N4" t="str">
        <x:v>Adventure</x:v>
      </x:c>
      <x:c r="O4" t="str">
        <x:v>Steven Spielberg</x:v>
      </x:c>
      <x:c r="P4" t="str">
        <x:v>Amblin Entertainment</x:v>
      </x:c>
      <x:c r="Q4" t="str">
        <x:v>United States</x:v>
      </x:c>
      <x:c r="R4" t="str">
        <x:v>English</x:v>
      </x:c>
      <x:c r="S4" t="str">
        <x:v>PG</x:v>
      </x:c>
      <x:c r="T4" t="n">
        <x:v>63000000</x:v>
      </x:c>
      <x:c r="U4" t="n">
        <x:v>1029939903</x:v>
      </x:c>
      <x:c r="V4" t="n">
        <x:v>3</x:v>
      </x:c>
      <x:c r="W4" t="n">
        <x:v>3</x:v>
      </x:c>
    </x:row>
    <x:row r="5">
      <x:c r="J5" t="n">
        <x:v>2</x:v>
      </x:c>
      <x:c r="K5" t="str">
        <x:v>Spider-Man</x:v>
      </x:c>
      <x:c r="L5" t="n">
        <x:v>37379</x:v>
      </x:c>
      <x:c r="M5" t="n">
        <x:v>121</x:v>
      </x:c>
      <x:c r="N5" t="str">
        <x:v>Action</x:v>
      </x:c>
      <x:c r="O5" t="str">
        <x:v>Sam Raimi</x:v>
      </x:c>
      <x:c r="P5" t="str">
        <x:v>Marvel Entertainment</x:v>
      </x:c>
      <x:c r="Q5" t="str">
        <x:v>United States</x:v>
      </x:c>
      <x:c r="R5" t="str">
        <x:v>English</x:v>
      </x:c>
      <x:c r="S5" t="str">
        <x:v>12A</x:v>
      </x:c>
      <x:c r="T5" t="n">
        <x:v>140000000</x:v>
      </x:c>
      <x:c r="U5" t="n">
        <x:v>821708551</x:v>
      </x:c>
      <x:c r="V5" t="n">
        <x:v>2</x:v>
      </x:c>
      <x:c r="W5" t="n">
        <x:v>0</x:v>
      </x:c>
    </x:row>
    <x:row r="6">
      <x:c r="A6" s="13" t="str">
        <x:v>Certificate</x:v>
      </x:c>
      <x:c r="B6" s="13" t="str">
        <x:v>Average Oscar Nominations</x:v>
      </x:c>
      <x:c r="J6" t="n">
        <x:v>3</x:v>
      </x:c>
      <x:c r="K6" t="str">
        <x:v>King Kong</x:v>
      </x:c>
      <x:c r="L6" t="n">
        <x:v>38700</x:v>
      </x:c>
      <x:c r="M6" t="n">
        <x:v>187</x:v>
      </x:c>
      <x:c r="N6" t="str">
        <x:v>Adventure</x:v>
      </x:c>
      <x:c r="O6" t="str">
        <x:v>Peter Jackson</x:v>
      </x:c>
      <x:c r="P6" t="str">
        <x:v>WingNut Films</x:v>
      </x:c>
      <x:c r="Q6" t="str">
        <x:v>New Zealand</x:v>
      </x:c>
      <x:c r="R6" t="str">
        <x:v>English</x:v>
      </x:c>
      <x:c r="S6" t="str">
        <x:v>12A</x:v>
      </x:c>
      <x:c r="T6" t="n">
        <x:v>207000000</x:v>
      </x:c>
      <x:c r="U6" t="n">
        <x:v>550500000</x:v>
      </x:c>
      <x:c r="V6" t="n">
        <x:v>4</x:v>
      </x:c>
      <x:c r="W6" t="n">
        <x:v>3</x:v>
      </x:c>
    </x:row>
    <x:row r="7">
      <x:c r="A7" t="str">
        <x:v>12</x:v>
      </x:c>
      <x:c r="B7" s="22" t="n">
        <x:f>IFERROR(SUMIFS($V$4:$V$1203,$N$4:$N$1203,$B$3,$S$4:$S$1203,A7)/COUNTIFS($N$4:$N$1203,$B$3,$S$4:$S$1203,A7),"")</x:f>
        <x:v>1.1818181818181819</x:v>
      </x:c>
      <x:c r="J7" t="n">
        <x:v>5</x:v>
      </x:c>
      <x:c r="K7" t="str">
        <x:v>Superman Returns</x:v>
      </x:c>
      <x:c r="L7" t="n">
        <x:v>38912</x:v>
      </x:c>
      <x:c r="M7" t="n">
        <x:v>154</x:v>
      </x:c>
      <x:c r="N7" t="str">
        <x:v>Action</x:v>
      </x:c>
      <x:c r="O7" t="str">
        <x:v>Bryan Singer</x:v>
      </x:c>
      <x:c r="P7" t="str">
        <x:v>Legendary Pictures</x:v>
      </x:c>
      <x:c r="Q7" t="str">
        <x:v>United States</x:v>
      </x:c>
      <x:c r="R7" t="str">
        <x:v>English</x:v>
      </x:c>
      <x:c r="S7" t="str">
        <x:v>12A</x:v>
      </x:c>
      <x:c r="T7" t="n">
        <x:v>204000000</x:v>
      </x:c>
      <x:c r="U7" t="n">
        <x:v>391081192</x:v>
      </x:c>
      <x:c r="V7" t="n">
        <x:v>1</x:v>
      </x:c>
      <x:c r="W7" t="n">
        <x:v>0</x:v>
      </x:c>
    </x:row>
    <x:row r="8">
      <x:c r="A8" t="str">
        <x:v>12A</x:v>
      </x:c>
      <x:c r="B8" s="22" t="n">
        <x:f>IFERROR(SUMIFS($V$4:$V$1203,$N$4:$N$1203,$B$3,$S$4:$S$1203,A8)/COUNTIFS($N$4:$N$1203,$B$3,$S$4:$S$1203,A8),"")</x:f>
        <x:v>1.3333333333333333</x:v>
      </x:c>
      <x:c r="J8" t="n">
        <x:v>6</x:v>
      </x:c>
      <x:c r="K8" t="str">
        <x:v>Titanic</x:v>
      </x:c>
      <x:c r="L8" t="n">
        <x:v>35818</x:v>
      </x:c>
      <x:c r="M8" t="n">
        <x:v>194</x:v>
      </x:c>
      <x:c r="N8" t="str">
        <x:v>Romance</x:v>
      </x:c>
      <x:c r="O8" t="str">
        <x:v>James Cameron</x:v>
      </x:c>
      <x:c r="P8" t="str">
        <x:v>20th Century Fox</x:v>
      </x:c>
      <x:c r="Q8" t="str">
        <x:v>United States</x:v>
      </x:c>
      <x:c r="R8" t="str">
        <x:v>English</x:v>
      </x:c>
      <x:c r="S8" t="n">
        <x:v>12</x:v>
      </x:c>
      <x:c r="T8" t="n">
        <x:v>200000000</x:v>
      </x:c>
      <x:c r="U8" t="n">
        <x:v>2186772302</x:v>
      </x:c>
      <x:c r="V8" t="n">
        <x:v>14</x:v>
      </x:c>
      <x:c r="W8" t="n">
        <x:v>11</x:v>
      </x:c>
    </x:row>
    <x:row r="9">
      <x:c r="A9" t="str">
        <x:v>15</x:v>
      </x:c>
      <x:c r="B9" s="22" t="n">
        <x:f>IFERROR(SUMIFS($V$4:$V$1203,$N$4:$N$1203,$B$3,$S$4:$S$1203,A9)/COUNTIFS($N$4:$N$1203,$B$3,$S$4:$S$1203,A9),"")</x:f>
        <x:v>3.1538461538461537</x:v>
      </x:c>
      <x:c r="J9" t="n">
        <x:v>7</x:v>
      </x:c>
      <x:c r="K9" t="str">
        <x:v>Evan Almighty</x:v>
      </x:c>
      <x:c r="L9" t="n">
        <x:v>39255</x:v>
      </x:c>
      <x:c r="M9" t="n">
        <x:v>96</x:v>
      </x:c>
      <x:c r="N9" t="str">
        <x:v>Comedy</x:v>
      </x:c>
      <x:c r="O9" t="str">
        <x:v>Tom Shadyac</x:v>
      </x:c>
      <x:c r="P9" t="str">
        <x:v>Spyglass Entertainment</x:v>
      </x:c>
      <x:c r="Q9" t="str">
        <x:v>United States</x:v>
      </x:c>
      <x:c r="R9" t="str">
        <x:v>English</x:v>
      </x:c>
      <x:c r="S9" t="str">
        <x:v>PG</x:v>
      </x:c>
      <x:c r="T9" t="n">
        <x:v>175000000</x:v>
      </x:c>
      <x:c r="U9" t="n">
        <x:v>173418781</x:v>
      </x:c>
      <x:c r="V9" t="n">
        <x:v>0</x:v>
      </x:c>
      <x:c r="W9" t="n">
        <x:v>0</x:v>
      </x:c>
    </x:row>
    <x:row r="10">
      <x:c r="A10" t="str">
        <x:v>18</x:v>
      </x:c>
      <x:c r="B10" s="22" t="n">
        <x:f>IFERROR(SUMIFS($V$4:$V$1203,$N$4:$N$1203,$B$3,$S$4:$S$1203,A10)/COUNTIFS($N$4:$N$1203,$B$3,$S$4:$S$1203,A10),"")</x:f>
        <x:v>0.42857142857142855</x:v>
      </x:c>
      <x:c r="J10" t="n">
        <x:v>8</x:v>
      </x:c>
      <x:c r="K10" t="str">
        <x:v>Waterworld</x:v>
      </x:c>
      <x:c r="L10" t="n">
        <x:v>34908</x:v>
      </x:c>
      <x:c r="M10" t="n">
        <x:v>135</x:v>
      </x:c>
      <x:c r="N10" t="str">
        <x:v>Adventure</x:v>
      </x:c>
      <x:c r="O10" t="str">
        <x:v>Kevin Reynolds</x:v>
      </x:c>
      <x:c r="P10" t="str">
        <x:v>Gordon Company</x:v>
      </x:c>
      <x:c r="Q10" t="str">
        <x:v>United States</x:v>
      </x:c>
      <x:c r="R10" t="str">
        <x:v>English</x:v>
      </x:c>
      <x:c r="S10" t="n">
        <x:v>12</x:v>
      </x:c>
      <x:c r="T10" t="n">
        <x:v>175000000</x:v>
      </x:c>
      <x:c r="U10" t="n">
        <x:v>264218220</x:v>
      </x:c>
      <x:c r="V10" t="n">
        <x:v>1</x:v>
      </x:c>
      <x:c r="W10" t="n">
        <x:v>0</x:v>
      </x:c>
    </x:row>
    <x:row r="11">
      <x:c r="A11" t="str">
        <x:v>PG</x:v>
      </x:c>
      <x:c r="B11" s="22" t="n">
        <x:f>IFERROR(SUMIFS($V$4:$V$1203,$N$4:$N$1203,$B$3,$S$4:$S$1203,A11)/COUNTIFS($N$4:$N$1203,$B$3,$S$4:$S$1203,A11),"")</x:f>
        <x:v>1.3636363636363635</x:v>
      </x:c>
      <x:c r="J11" t="n">
        <x:v>9</x:v>
      </x:c>
      <x:c r="K11" t="str">
        <x:v>Pearl Harbor</x:v>
      </x:c>
      <x:c r="L11" t="n">
        <x:v>37032</x:v>
      </x:c>
      <x:c r="M11" t="n">
        <x:v>183</x:v>
      </x:c>
      <x:c r="N11" t="str">
        <x:v>War</x:v>
      </x:c>
      <x:c r="O11" t="str">
        <x:v>Michael Bay</x:v>
      </x:c>
      <x:c r="P11" t="str">
        <x:v>Touchstone Pictures</x:v>
      </x:c>
      <x:c r="Q11" t="str">
        <x:v>United States</x:v>
      </x:c>
      <x:c r="R11" t="str">
        <x:v>English</x:v>
      </x:c>
      <x:c r="S11" t="n">
        <x:v>12</x:v>
      </x:c>
      <x:c r="T11" t="n">
        <x:v>140000000</x:v>
      </x:c>
      <x:c r="U11" t="n">
        <x:v>449220945</x:v>
      </x:c>
      <x:c r="V11" t="n">
        <x:v>4</x:v>
      </x:c>
      <x:c r="W11" t="n">
        <x:v>1</x:v>
      </x:c>
    </x:row>
    <x:row r="12">
      <x:c r="A12" t="str">
        <x:v>U</x:v>
      </x:c>
      <x:c r="B12" s="22" t="n">
        <x:f>IFERROR(SUMIFS($V$4:$V$1203,$N$4:$N$1203,$B$3,$S$4:$S$1203,A12)/COUNTIFS($N$4:$N$1203,$B$3,$S$4:$S$1203,A12),"")</x:f>
        <x:v>3.3846153846153846</x:v>
      </x:c>
      <x:c r="J12" t="n">
        <x:v>10</x:v>
      </x:c>
      <x:c r="K12" t="str">
        <x:v>Transformers</x:v>
      </x:c>
      <x:c r="L12" t="n">
        <x:v>39266</x:v>
      </x:c>
      <x:c r="M12" t="n">
        <x:v>144</x:v>
      </x:c>
      <x:c r="N12" t="str">
        <x:v>Science Fiction</x:v>
      </x:c>
      <x:c r="O12" t="str">
        <x:v>Michael Bay</x:v>
      </x:c>
      <x:c r="P12" t="str">
        <x:v>di Bonaventura Pictures</x:v>
      </x:c>
      <x:c r="Q12" t="str">
        <x:v>United States</x:v>
      </x:c>
      <x:c r="R12" t="str">
        <x:v>English</x:v>
      </x:c>
      <x:c r="S12" t="str">
        <x:v>12A</x:v>
      </x:c>
      <x:c r="T12" t="n">
        <x:v>150000000</x:v>
      </x:c>
      <x:c r="U12" t="n">
        <x:v>709709780</x:v>
      </x:c>
      <x:c r="V12" t="n">
        <x:v>3</x:v>
      </x:c>
      <x:c r="W12" t="n">
        <x:v>0</x:v>
      </x:c>
    </x:row>
    <x:row r="13">
      <x:c r="A13" t="str">
        <x:v>Unknown</x:v>
      </x:c>
      <x:c r="B13" s="22" t="str">
        <x:f>IFERROR(SUMIFS($V$4:$V$1203,$N$4:$N$1203,$B$3,$S$4:$S$1203,A13)/COUNTIFS($N$4:$N$1203,$B$3,$S$4:$S$1203,A13),"")</x:f>
      </x:c>
      <x:c r="J13" t="n">
        <x:v>11</x:v>
      </x:c>
      <x:c r="K13" t="str">
        <x:v>Harry Potter and the Order of the Phoenix</x:v>
      </x:c>
      <x:c r="L13" t="n">
        <x:v>39274</x:v>
      </x:c>
      <x:c r="M13" t="n">
        <x:v>138</x:v>
      </x:c>
      <x:c r="N13" t="str">
        <x:v>Fantasy</x:v>
      </x:c>
      <x:c r="O13" t="str">
        <x:v>David Yates</x:v>
      </x:c>
      <x:c r="P13" t="str">
        <x:v>Heyday Films</x:v>
      </x:c>
      <x:c r="Q13" t="str">
        <x:v>United Kingdom</x:v>
      </x:c>
      <x:c r="R13" t="str">
        <x:v>English</x:v>
      </x:c>
      <x:c r="S13" t="str">
        <x:v>12A</x:v>
      </x:c>
      <x:c r="T13" t="n">
        <x:v>150000000</x:v>
      </x:c>
      <x:c r="U13" t="n">
        <x:v>939885929</x:v>
      </x:c>
      <x:c r="V13" t="n">
        <x:v>0</x:v>
      </x:c>
      <x:c r="W13" t="n">
        <x:v>0</x:v>
      </x:c>
    </x:row>
    <x:row r="14">
      <x:c r="J14" t="n">
        <x:v>12</x:v>
      </x:c>
      <x:c r="K14" t="str">
        <x:v>Beowulf</x:v>
      </x:c>
      <x:c r="L14" t="n">
        <x:v>39402</x:v>
      </x:c>
      <x:c r="M14" t="n">
        <x:v>115</x:v>
      </x:c>
      <x:c r="N14" t="str">
        <x:v>Fantasy</x:v>
      </x:c>
      <x:c r="O14" t="str">
        <x:v>Robert Zemeckis</x:v>
      </x:c>
      <x:c r="P14" t="str">
        <x:v>Shangri-La Entertainment</x:v>
      </x:c>
      <x:c r="Q14" t="str">
        <x:v>United States</x:v>
      </x:c>
      <x:c r="R14" t="str">
        <x:v>English</x:v>
      </x:c>
      <x:c r="S14" t="str">
        <x:v>12A</x:v>
      </x:c>
      <x:c r="T14" t="n">
        <x:v>150000000</x:v>
      </x:c>
      <x:c r="U14" t="n">
        <x:v>196393745</x:v>
      </x:c>
      <x:c r="V14" t="n">
        <x:v>0</x:v>
      </x:c>
      <x:c r="W14" t="n">
        <x:v>0</x:v>
      </x:c>
    </x:row>
    <x:row r="15">
      <x:c r="J15" t="n">
        <x:v>13</x:v>
      </x:c>
      <x:c r="K15" t="str">
        <x:v>Bee Movie</x:v>
      </x:c>
      <x:c r="L15" t="n">
        <x:v>39388</x:v>
      </x:c>
      <x:c r="M15" t="n">
        <x:v>91</x:v>
      </x:c>
      <x:c r="N15" t="str">
        <x:v>Animation</x:v>
      </x:c>
      <x:c r="O15" t="str">
        <x:v>Steve Hickner</x:v>
      </x:c>
      <x:c r="P15" t="str">
        <x:v>Dreamworks</x:v>
      </x:c>
      <x:c r="Q15" t="str">
        <x:v>United States</x:v>
      </x:c>
      <x:c r="R15" t="str">
        <x:v>English</x:v>
      </x:c>
      <x:c r="S15" t="str">
        <x:v>U</x:v>
      </x:c>
      <x:c r="T15" t="n">
        <x:v>150000000</x:v>
      </x:c>
      <x:c r="U15" t="n">
        <x:v>287594577</x:v>
      </x:c>
      <x:c r="V15" t="n">
        <x:v>0</x:v>
      </x:c>
      <x:c r="W15" t="n">
        <x:v>0</x:v>
      </x:c>
    </x:row>
    <x:row r="16">
      <x:c r="J16" t="n">
        <x:v>14</x:v>
      </x:c>
      <x:c r="K16" t="str">
        <x:v>Pirates of the Caribbean: At World's End</x:v>
      </x:c>
      <x:c r="L16" t="n">
        <x:v>39227</x:v>
      </x:c>
      <x:c r="M16" t="n">
        <x:v>168</x:v>
      </x:c>
      <x:c r="N16" t="str">
        <x:v>Adventure</x:v>
      </x:c>
      <x:c r="O16" t="str">
        <x:v>Gore Verbinski</x:v>
      </x:c>
      <x:c r="P16" t="str">
        <x:v>Walt Disney Pictures</x:v>
      </x:c>
      <x:c r="Q16" t="str">
        <x:v>United States</x:v>
      </x:c>
      <x:c r="R16" t="str">
        <x:v>English</x:v>
      </x:c>
      <x:c r="S16" t="str">
        <x:v>12A</x:v>
      </x:c>
      <x:c r="T16" t="n">
        <x:v>300000000</x:v>
      </x:c>
      <x:c r="U16" t="n">
        <x:v>963420425</x:v>
      </x:c>
      <x:c r="V16" t="n">
        <x:v>2</x:v>
      </x:c>
      <x:c r="W16" t="n">
        <x:v>0</x:v>
      </x:c>
    </x:row>
    <x:row r="17">
      <x:c r="J17" t="n">
        <x:v>15</x:v>
      </x:c>
      <x:c r="K17" t="str">
        <x:v>I Am Legend</x:v>
      </x:c>
      <x:c r="L17" t="n">
        <x:v>39430</x:v>
      </x:c>
      <x:c r="M17" t="n">
        <x:v>100</x:v>
      </x:c>
      <x:c r="N17" t="str">
        <x:v>Horror</x:v>
      </x:c>
      <x:c r="O17" t="str">
        <x:v>Francis Lawrence</x:v>
      </x:c>
      <x:c r="P17" t="str">
        <x:v>Village Roadshow Pictures</x:v>
      </x:c>
      <x:c r="Q17" t="str">
        <x:v>United States</x:v>
      </x:c>
      <x:c r="R17" t="str">
        <x:v>English</x:v>
      </x:c>
      <x:c r="S17" t="n">
        <x:v>15</x:v>
      </x:c>
      <x:c r="T17" t="n">
        <x:v>150000000</x:v>
      </x:c>
      <x:c r="U17" t="n">
        <x:v>585349010</x:v>
      </x:c>
      <x:c r="V17" t="n">
        <x:v>0</x:v>
      </x:c>
      <x:c r="W17" t="n">
        <x:v>0</x:v>
      </x:c>
    </x:row>
    <x:row r="18">
      <x:c r="J18" t="n">
        <x:v>16</x:v>
      </x:c>
      <x:c r="K18" t="str">
        <x:v>Ratatouille</x:v>
      </x:c>
      <x:c r="L18" t="n">
        <x:v>39255</x:v>
      </x:c>
      <x:c r="M18" t="n">
        <x:v>111</x:v>
      </x:c>
      <x:c r="N18" t="str">
        <x:v>Animation</x:v>
      </x:c>
      <x:c r="O18" t="str">
        <x:v>Brad Bird</x:v>
      </x:c>
      <x:c r="P18" t="str">
        <x:v>Walt Disney Pictures</x:v>
      </x:c>
      <x:c r="Q18" t="str">
        <x:v>United States</x:v>
      </x:c>
      <x:c r="R18" t="str">
        <x:v>English</x:v>
      </x:c>
      <x:c r="S18" t="str">
        <x:v>U</x:v>
      </x:c>
      <x:c r="T18" t="n">
        <x:v>150000000</x:v>
      </x:c>
      <x:c r="U18" t="n">
        <x:v>623722818</x:v>
      </x:c>
      <x:c r="V18" t="n">
        <x:v>5</x:v>
      </x:c>
      <x:c r="W18" t="n">
        <x:v>1</x:v>
      </x:c>
    </x:row>
    <x:row r="19">
      <x:c r="J19" t="n">
        <x:v>17</x:v>
      </x:c>
      <x:c r="K19" t="str">
        <x:v>Troy</x:v>
      </x:c>
      <x:c r="L19" t="n">
        <x:v>38121</x:v>
      </x:c>
      <x:c r="M19" t="n">
        <x:v>162</x:v>
      </x:c>
      <x:c r="N19" t="str">
        <x:v>Adventure</x:v>
      </x:c>
      <x:c r="O19" t="str">
        <x:v>Wolfgang Peterson</x:v>
      </x:c>
      <x:c r="P19" t="str">
        <x:v>Helena Productions</x:v>
      </x:c>
      <x:c r="Q19" t="str">
        <x:v>United States</x:v>
      </x:c>
      <x:c r="R19" t="str">
        <x:v>English</x:v>
      </x:c>
      <x:c r="S19" t="n">
        <x:v>15</x:v>
      </x:c>
      <x:c r="T19" t="n">
        <x:v>175000000</x:v>
      </x:c>
      <x:c r="U19" t="n">
        <x:v>497409852</x:v>
      </x:c>
      <x:c r="V19" t="n">
        <x:v>1</x:v>
      </x:c>
      <x:c r="W19" t="n">
        <x:v>0</x:v>
      </x:c>
    </x:row>
    <x:row r="20">
      <x:c r="J20" t="n">
        <x:v>18</x:v>
      </x:c>
      <x:c r="K20" t="str">
        <x:v>Harry Potter and the Goblet of Fire</x:v>
      </x:c>
      <x:c r="L20" t="n">
        <x:v>38662</x:v>
      </x:c>
      <x:c r="M20" t="n">
        <x:v>156</x:v>
      </x:c>
      <x:c r="N20" t="str">
        <x:v>Fantasy</x:v>
      </x:c>
      <x:c r="O20" t="str">
        <x:v>Mike Newell</x:v>
      </x:c>
      <x:c r="P20" t="str">
        <x:v>Heyday Films</x:v>
      </x:c>
      <x:c r="Q20" t="str">
        <x:v>United Kingdom</x:v>
      </x:c>
      <x:c r="R20" t="str">
        <x:v>English</x:v>
      </x:c>
      <x:c r="S20" t="str">
        <x:v>12A</x:v>
      </x:c>
      <x:c r="T20" t="n">
        <x:v>150000000</x:v>
      </x:c>
      <x:c r="U20" t="n">
        <x:v>896911078</x:v>
      </x:c>
      <x:c r="V20" t="n">
        <x:v>1</x:v>
      </x:c>
      <x:c r="W20" t="n">
        <x:v>0</x:v>
      </x:c>
    </x:row>
    <x:row r="21">
      <x:c r="J21" t="n">
        <x:v>19</x:v>
      </x:c>
      <x:c r="K21" t="str">
        <x:v>Batman Begins</x:v>
      </x:c>
      <x:c r="L21" t="n">
        <x:v>38518</x:v>
      </x:c>
      <x:c r="M21" t="n">
        <x:v>141</x:v>
      </x:c>
      <x:c r="N21" t="str">
        <x:v>Action</x:v>
      </x:c>
      <x:c r="O21" t="str">
        <x:v>Christopher Nolan</x:v>
      </x:c>
      <x:c r="P21" t="str">
        <x:v>Legendary Pictures</x:v>
      </x:c>
      <x:c r="Q21" t="str">
        <x:v>United States</x:v>
      </x:c>
      <x:c r="R21" t="str">
        <x:v>English</x:v>
      </x:c>
      <x:c r="S21" t="str">
        <x:v>12A</x:v>
      </x:c>
      <x:c r="T21" t="n">
        <x:v>150000000</x:v>
      </x:c>
      <x:c r="U21" t="n">
        <x:v>374218673</x:v>
      </x:c>
      <x:c r="V21" t="n">
        <x:v>1</x:v>
      </x:c>
      <x:c r="W21" t="n">
        <x:v>0</x:v>
      </x:c>
    </x:row>
    <x:row r="22">
      <x:c r="J22" t="n">
        <x:v>20</x:v>
      </x:c>
      <x:c r="K22" t="str">
        <x:v>Charlie and the Chocolate Factory</x:v>
      </x:c>
      <x:c r="L22" t="n">
        <x:v>38548</x:v>
      </x:c>
      <x:c r="M22" t="n">
        <x:v>115</x:v>
      </x:c>
      <x:c r="N22" t="str">
        <x:v>Fantasy</x:v>
      </x:c>
      <x:c r="O22" t="str">
        <x:v>Tim Burton</x:v>
      </x:c>
      <x:c r="P22" t="str">
        <x:v>Village Roadshow Pictures</x:v>
      </x:c>
      <x:c r="Q22" t="str">
        <x:v>United States</x:v>
      </x:c>
      <x:c r="R22" t="str">
        <x:v>English</x:v>
      </x:c>
      <x:c r="S22" t="str">
        <x:v>PG</x:v>
      </x:c>
      <x:c r="T22" t="n">
        <x:v>150000000</x:v>
      </x:c>
      <x:c r="U22" t="n">
        <x:v>474968763</x:v>
      </x:c>
      <x:c r="V22" t="n">
        <x:v>1</x:v>
      </x:c>
      <x:c r="W22" t="n">
        <x:v>0</x:v>
      </x:c>
    </x:row>
    <x:row r="23">
      <x:c r="J23" t="n">
        <x:v>21</x:v>
      </x:c>
      <x:c r="K23" t="str">
        <x:v>Pirates of the Caribbean: Dead Man's Chest</x:v>
      </x:c>
      <x:c r="L23" t="n">
        <x:v>38904</x:v>
      </x:c>
      <x:c r="M23" t="n">
        <x:v>151</x:v>
      </x:c>
      <x:c r="N23" t="str">
        <x:v>Adventure</x:v>
      </x:c>
      <x:c r="O23" t="str">
        <x:v>Gore Verbinski</x:v>
      </x:c>
      <x:c r="P23" t="str">
        <x:v>Walt Disney Pictures</x:v>
      </x:c>
      <x:c r="Q23" t="str">
        <x:v>United States</x:v>
      </x:c>
      <x:c r="R23" t="str">
        <x:v>English</x:v>
      </x:c>
      <x:c r="S23" t="str">
        <x:v>12A</x:v>
      </x:c>
      <x:c r="T23" t="n">
        <x:v>225000000</x:v>
      </x:c>
      <x:c r="U23" t="n">
        <x:v>1066179725</x:v>
      </x:c>
      <x:c r="V23" t="n">
        <x:v>4</x:v>
      </x:c>
      <x:c r="W23" t="n">
        <x:v>1</x:v>
      </x:c>
    </x:row>
    <x:row r="24">
      <x:c r="J24" t="n">
        <x:v>22</x:v>
      </x:c>
      <x:c r="K24" t="str">
        <x:v>Die Another Day</x:v>
      </x:c>
      <x:c r="L24" t="n">
        <x:v>37580</x:v>
      </x:c>
      <x:c r="M24" t="n">
        <x:v>133</x:v>
      </x:c>
      <x:c r="N24" t="str">
        <x:v>Thriller</x:v>
      </x:c>
      <x:c r="O24" t="str">
        <x:v>Lee Tamahori</x:v>
      </x:c>
      <x:c r="P24" t="str">
        <x:v>Eon Productions</x:v>
      </x:c>
      <x:c r="Q24" t="str">
        <x:v>United Kingdom</x:v>
      </x:c>
      <x:c r="R24" t="str">
        <x:v>English</x:v>
      </x:c>
      <x:c r="S24" t="str">
        <x:v>12A</x:v>
      </x:c>
      <x:c r="T24" t="n">
        <x:v>142000000</x:v>
      </x:c>
      <x:c r="U24" t="n">
        <x:v>431971116</x:v>
      </x:c>
      <x:c r="V24" t="n">
        <x:v>0</x:v>
      </x:c>
      <x:c r="W24" t="n">
        <x:v>0</x:v>
      </x:c>
    </x:row>
    <x:row r="25">
      <x:c r="J25" t="n">
        <x:v>23</x:v>
      </x:c>
      <x:c r="K25" t="str">
        <x:v>Lethal Weapon 4</x:v>
      </x:c>
      <x:c r="L25" t="n">
        <x:v>35986</x:v>
      </x:c>
      <x:c r="M25" t="n">
        <x:v>127</x:v>
      </x:c>
      <x:c r="N25" t="str">
        <x:v>Action</x:v>
      </x:c>
      <x:c r="O25" t="str">
        <x:v>Richard Donner</x:v>
      </x:c>
      <x:c r="P25" t="str">
        <x:v>Silver Pictures</x:v>
      </x:c>
      <x:c r="Q25" t="str">
        <x:v>United States</x:v>
      </x:c>
      <x:c r="R25" t="str">
        <x:v>English</x:v>
      </x:c>
      <x:c r="S25" t="n">
        <x:v>15</x:v>
      </x:c>
      <x:c r="T25" t="n">
        <x:v>100000000</x:v>
      </x:c>
      <x:c r="U25" t="n">
        <x:v>285444603</x:v>
      </x:c>
      <x:c r="V25" t="n">
        <x:v>0</x:v>
      </x:c>
      <x:c r="W25" t="n">
        <x:v>0</x:v>
      </x:c>
    </x:row>
    <x:row r="26">
      <x:c r="J26" t="n">
        <x:v>24</x:v>
      </x:c>
      <x:c r="K26" t="str">
        <x:v>Armageddon</x:v>
      </x:c>
      <x:c r="L26" t="n">
        <x:v>35977</x:v>
      </x:c>
      <x:c r="M26" t="n">
        <x:v>151</x:v>
      </x:c>
      <x:c r="N26" t="str">
        <x:v>Science Fiction</x:v>
      </x:c>
      <x:c r="O26" t="str">
        <x:v>Michael Bay</x:v>
      </x:c>
      <x:c r="P26" t="str">
        <x:v>Touchstone Pictures</x:v>
      </x:c>
      <x:c r="Q26" t="str">
        <x:v>United States</x:v>
      </x:c>
      <x:c r="R26" t="str">
        <x:v>English</x:v>
      </x:c>
      <x:c r="S26" t="n">
        <x:v>12</x:v>
      </x:c>
      <x:c r="T26" t="n">
        <x:v>140000000</x:v>
      </x:c>
      <x:c r="U26" t="n">
        <x:v>553709788</x:v>
      </x:c>
      <x:c r="V26" t="n">
        <x:v>4</x:v>
      </x:c>
      <x:c r="W26" t="n">
        <x:v>0</x:v>
      </x:c>
    </x:row>
    <x:row r="27">
      <x:c r="J27" t="n">
        <x:v>25</x:v>
      </x:c>
      <x:c r="K27" t="str">
        <x:v>Men in Black II</x:v>
      </x:c>
      <x:c r="L27" t="n">
        <x:v>37440</x:v>
      </x:c>
      <x:c r="M27" t="n">
        <x:v>89</x:v>
      </x:c>
      <x:c r="N27" t="str">
        <x:v>Science Fiction</x:v>
      </x:c>
      <x:c r="O27" t="str">
        <x:v>Barry Sonnenfeld</x:v>
      </x:c>
      <x:c r="P27" t="str">
        <x:v>Amblin Entertainment</x:v>
      </x:c>
      <x:c r="Q27" t="str">
        <x:v>United States</x:v>
      </x:c>
      <x:c r="R27" t="str">
        <x:v>English</x:v>
      </x:c>
      <x:c r="S27" t="str">
        <x:v>PG</x:v>
      </x:c>
      <x:c r="T27" t="n">
        <x:v>140000000</x:v>
      </x:c>
      <x:c r="U27" t="n">
        <x:v>441818803</x:v>
      </x:c>
      <x:c r="V27" t="n">
        <x:v>0</x:v>
      </x:c>
      <x:c r="W27" t="n">
        <x:v>0</x:v>
      </x:c>
    </x:row>
    <x:row r="28">
      <x:c r="J28" t="n">
        <x:v>26</x:v>
      </x:c>
      <x:c r="K28" t="str">
        <x:v>Spider-Man 3</x:v>
      </x:c>
      <x:c r="L28" t="n">
        <x:v>39206</x:v>
      </x:c>
      <x:c r="M28" t="n">
        <x:v>139</x:v>
      </x:c>
      <x:c r="N28" t="str">
        <x:v>Action</x:v>
      </x:c>
      <x:c r="O28" t="str">
        <x:v>Sam Raimi</x:v>
      </x:c>
      <x:c r="P28" t="str">
        <x:v>Marvel Entertainment</x:v>
      </x:c>
      <x:c r="Q28" t="str">
        <x:v>United States</x:v>
      </x:c>
      <x:c r="R28" t="str">
        <x:v>English</x:v>
      </x:c>
      <x:c r="S28" t="str">
        <x:v>12A</x:v>
      </x:c>
      <x:c r="T28" t="n">
        <x:v>258000000</x:v>
      </x:c>
      <x:c r="U28" t="n">
        <x:v>890871626</x:v>
      </x:c>
      <x:c r="V28" t="n">
        <x:v>0</x:v>
      </x:c>
      <x:c r="W28" t="n">
        <x:v>0</x:v>
      </x:c>
    </x:row>
    <x:row r="29">
      <x:c r="J29" t="n">
        <x:v>27</x:v>
      </x:c>
      <x:c r="K29" t="str">
        <x:v>Spider-Man 2</x:v>
      </x:c>
      <x:c r="L29" t="n">
        <x:v>38168</x:v>
      </x:c>
      <x:c r="M29" t="n">
        <x:v>127</x:v>
      </x:c>
      <x:c r="N29" t="str">
        <x:v>Action</x:v>
      </x:c>
      <x:c r="O29" t="str">
        <x:v>Sam Raimi</x:v>
      </x:c>
      <x:c r="P29" t="str">
        <x:v>Marvel Entertainment</x:v>
      </x:c>
      <x:c r="Q29" t="str">
        <x:v>United States</x:v>
      </x:c>
      <x:c r="R29" t="str">
        <x:v>English</x:v>
      </x:c>
      <x:c r="S29" t="str">
        <x:v>12A</x:v>
      </x:c>
      <x:c r="T29" t="n">
        <x:v>200000000</x:v>
      </x:c>
      <x:c r="U29" t="n">
        <x:v>783766341</x:v>
      </x:c>
      <x:c r="V29" t="n">
        <x:v>3</x:v>
      </x:c>
      <x:c r="W29" t="n">
        <x:v>1</x:v>
      </x:c>
    </x:row>
    <x:row r="30">
      <x:c r="J30" t="n">
        <x:v>28</x:v>
      </x:c>
      <x:c r="K30" t="str">
        <x:v>Stealth</x:v>
      </x:c>
      <x:c r="L30" t="n">
        <x:v>38569</x:v>
      </x:c>
      <x:c r="M30" t="n">
        <x:v>121</x:v>
      </x:c>
      <x:c r="N30" t="str">
        <x:v>Action</x:v>
      </x:c>
      <x:c r="O30" t="str">
        <x:v>Rob Cohen</x:v>
      </x:c>
      <x:c r="P30" t="str">
        <x:v>Original Film</x:v>
      </x:c>
      <x:c r="Q30" t="str">
        <x:v>United States</x:v>
      </x:c>
      <x:c r="R30" t="str">
        <x:v>English</x:v>
      </x:c>
      <x:c r="S30" t="str">
        <x:v>12A</x:v>
      </x:c>
      <x:c r="T30" t="n">
        <x:v>135000000</x:v>
      </x:c>
      <x:c r="U30" t="n">
        <x:v>76932872</x:v>
      </x:c>
      <x:c r="V30" t="n">
        <x:v>0</x:v>
      </x:c>
      <x:c r="W30" t="n">
        <x:v>0</x:v>
      </x:c>
    </x:row>
    <x:row r="31">
      <x:c r="J31" t="n">
        <x:v>29</x:v>
      </x:c>
      <x:c r="K31" t="str">
        <x:v>Final Fantasy: The Spirits Within</x:v>
      </x:c>
      <x:c r="L31" t="n">
        <x:v>37106</x:v>
      </x:c>
      <x:c r="M31" t="n">
        <x:v>106</x:v>
      </x:c>
      <x:c r="N31" t="str">
        <x:v>Animation</x:v>
      </x:c>
      <x:c r="O31" t="str">
        <x:v>Hironobu Sakaguchi</x:v>
      </x:c>
      <x:c r="P31" t="str">
        <x:v>Square Pictures</x:v>
      </x:c>
      <x:c r="Q31" t="str">
        <x:v>United States</x:v>
      </x:c>
      <x:c r="R31" t="str">
        <x:v>English</x:v>
      </x:c>
      <x:c r="S31" t="str">
        <x:v>PG</x:v>
      </x:c>
      <x:c r="T31" t="n">
        <x:v>137000000</x:v>
      </x:c>
      <x:c r="U31" t="n">
        <x:v>85131830</x:v>
      </x:c>
      <x:c r="V31" t="n">
        <x:v>0</x:v>
      </x:c>
      <x:c r="W31" t="n">
        <x:v>0</x:v>
      </x:c>
    </x:row>
    <x:row r="32">
      <x:c r="J32" t="n">
        <x:v>30</x:v>
      </x:c>
      <x:c r="K32" t="str">
        <x:v>Miami Vice</x:v>
      </x:c>
      <x:c r="L32" t="n">
        <x:v>38926</x:v>
      </x:c>
      <x:c r="M32" t="n">
        <x:v>134</x:v>
      </x:c>
      <x:c r="N32" t="str">
        <x:v>Thriller</x:v>
      </x:c>
      <x:c r="O32" t="str">
        <x:v>Michael Mann</x:v>
      </x:c>
      <x:c r="P32" t="str">
        <x:v>Universal Pictures</x:v>
      </x:c>
      <x:c r="Q32" t="str">
        <x:v>United States</x:v>
      </x:c>
      <x:c r="R32" t="str">
        <x:v>English</x:v>
      </x:c>
      <x:c r="S32" t="n">
        <x:v>15</x:v>
      </x:c>
      <x:c r="T32" t="n">
        <x:v>135000000</x:v>
      </x:c>
      <x:c r="U32" t="n">
        <x:v>163794509</x:v>
      </x:c>
      <x:c r="V32" t="n">
        <x:v>0</x:v>
      </x:c>
      <x:c r="W32" t="n">
        <x:v>0</x:v>
      </x:c>
    </x:row>
    <x:row r="33">
      <x:c r="J33" t="n">
        <x:v>31</x:v>
      </x:c>
      <x:c r="K33" t="str">
        <x:v>The World Is Not Enough</x:v>
      </x:c>
      <x:c r="L33" t="n">
        <x:v>36490</x:v>
      </x:c>
      <x:c r="M33" t="n">
        <x:v>128</x:v>
      </x:c>
      <x:c r="N33" t="str">
        <x:v>Thriller</x:v>
      </x:c>
      <x:c r="O33" t="str">
        <x:v>Michael Apted</x:v>
      </x:c>
      <x:c r="P33" t="str">
        <x:v>Eon Productions</x:v>
      </x:c>
      <x:c r="Q33" t="str">
        <x:v>United Kingdom</x:v>
      </x:c>
      <x:c r="R33" t="str">
        <x:v>English</x:v>
      </x:c>
      <x:c r="S33" t="n">
        <x:v>12</x:v>
      </x:c>
      <x:c r="T33" t="n">
        <x:v>135000000</x:v>
      </x:c>
      <x:c r="U33" t="n">
        <x:v>361832400</x:v>
      </x:c>
      <x:c r="V33" t="n">
        <x:v>0</x:v>
      </x:c>
      <x:c r="W33" t="n">
        <x:v>0</x:v>
      </x:c>
    </x:row>
    <x:row r="34">
      <x:c r="J34" t="n">
        <x:v>32</x:v>
      </x:c>
      <x:c r="K34" t="str">
        <x:v>Master and Commander: The Far Side of the World</x:v>
      </x:c>
      <x:c r="L34" t="n">
        <x:v>37939</x:v>
      </x:c>
      <x:c r="M34" t="n">
        <x:v>138</x:v>
      </x:c>
      <x:c r="N34" t="str">
        <x:v>Adventure</x:v>
      </x:c>
      <x:c r="O34" t="str">
        <x:v>Peter Weir</x:v>
      </x:c>
      <x:c r="P34" t="str">
        <x:v>20th Century Fox</x:v>
      </x:c>
      <x:c r="Q34" t="str">
        <x:v>United States</x:v>
      </x:c>
      <x:c r="R34" t="str">
        <x:v>English</x:v>
      </x:c>
      <x:c r="S34" t="str">
        <x:v>12A</x:v>
      </x:c>
      <x:c r="T34" t="n">
        <x:v>150000000</x:v>
      </x:c>
      <x:c r="U34" t="n">
        <x:v>212011111</x:v>
      </x:c>
      <x:c r="V34" t="n">
        <x:v>10</x:v>
      </x:c>
      <x:c r="W34" t="n">
        <x:v>2</x:v>
      </x:c>
    </x:row>
    <x:row r="35">
      <x:c r="J35" t="n">
        <x:v>33</x:v>
      </x:c>
      <x:c r="K35" t="str">
        <x:v>War of the Worlds</x:v>
      </x:c>
      <x:c r="L35" t="n">
        <x:v>38532</x:v>
      </x:c>
      <x:c r="M35" t="n">
        <x:v>116</x:v>
      </x:c>
      <x:c r="N35" t="str">
        <x:v>Science Fiction</x:v>
      </x:c>
      <x:c r="O35" t="str">
        <x:v>Steven Spielberg</x:v>
      </x:c>
      <x:c r="P35" t="str">
        <x:v>Amblin Entertainment</x:v>
      </x:c>
      <x:c r="Q35" t="str">
        <x:v>United States</x:v>
      </x:c>
      <x:c r="R35" t="str">
        <x:v>English</x:v>
      </x:c>
      <x:c r="S35" t="str">
        <x:v>12A</x:v>
      </x:c>
      <x:c r="T35" t="n">
        <x:v>132000000</x:v>
      </x:c>
      <x:c r="U35" t="n">
        <x:v>591745540</x:v>
      </x:c>
      <x:c r="V35" t="n">
        <x:v>3</x:v>
      </x:c>
      <x:c r="W35" t="n">
        <x:v>0</x:v>
      </x:c>
    </x:row>
    <x:row r="36">
      <x:c r="J36" t="n">
        <x:v>34</x:v>
      </x:c>
      <x:c r="K36" t="str">
        <x:v>The Bourne Ultimatum</x:v>
      </x:c>
      <x:c r="L36" t="n">
        <x:v>39311</x:v>
      </x:c>
      <x:c r="M36" t="n">
        <x:v>115</x:v>
      </x:c>
      <x:c r="N36" t="str">
        <x:v>Thriller</x:v>
      </x:c>
      <x:c r="O36" t="str">
        <x:v>Paul Greengrass</x:v>
      </x:c>
      <x:c r="P36" t="str">
        <x:v>The Kennedy Marshall Company</x:v>
      </x:c>
      <x:c r="Q36" t="str">
        <x:v>United States</x:v>
      </x:c>
      <x:c r="R36" t="str">
        <x:v>English</x:v>
      </x:c>
      <x:c r="S36" t="str">
        <x:v>12A</x:v>
      </x:c>
      <x:c r="T36" t="n">
        <x:v>110000000</x:v>
      </x:c>
      <x:c r="U36" t="n">
        <x:v>442824138</x:v>
      </x:c>
      <x:c r="V36" t="n">
        <x:v>3</x:v>
      </x:c>
      <x:c r="W36" t="n">
        <x:v>3</x:v>
      </x:c>
    </x:row>
    <x:row r="37">
      <x:c r="J37" t="n">
        <x:v>35</x:v>
      </x:c>
      <x:c r="K37" t="str">
        <x:v>Harry Potter and the Prisoner of Azkaban</x:v>
      </x:c>
      <x:c r="L37" t="n">
        <x:v>38138</x:v>
      </x:c>
      <x:c r="M37" t="n">
        <x:v>141</x:v>
      </x:c>
      <x:c r="N37" t="str">
        <x:v>Fantasy</x:v>
      </x:c>
      <x:c r="O37" t="str">
        <x:v>Alfonso Cuaron</x:v>
      </x:c>
      <x:c r="P37" t="str">
        <x:v>Heyday Films</x:v>
      </x:c>
      <x:c r="Q37" t="str">
        <x:v>United Kingdom</x:v>
      </x:c>
      <x:c r="R37" t="str">
        <x:v>English</x:v>
      </x:c>
      <x:c r="S37" t="str">
        <x:v>PG</x:v>
      </x:c>
      <x:c r="T37" t="n">
        <x:v>130000000</x:v>
      </x:c>
      <x:c r="U37" t="n">
        <x:v>796688549</x:v>
      </x:c>
      <x:c r="V37" t="n">
        <x:v>2</x:v>
      </x:c>
      <x:c r="W37" t="n">
        <x:v>0</x:v>
      </x:c>
    </x:row>
    <x:row r="38">
      <x:c r="J38" t="n">
        <x:v>36</x:v>
      </x:c>
      <x:c r="K38" t="str">
        <x:v>The Matrix Reloaded</x:v>
      </x:c>
      <x:c r="L38" t="n">
        <x:v>37756</x:v>
      </x:c>
      <x:c r="M38" t="n">
        <x:v>138</x:v>
      </x:c>
      <x:c r="N38" t="str">
        <x:v>Science Fiction</x:v>
      </x:c>
      <x:c r="O38" t="str">
        <x:v>Lilly (Andy) Wachowski</x:v>
      </x:c>
      <x:c r="P38" t="str">
        <x:v>Village Roadshow Pictures</x:v>
      </x:c>
      <x:c r="Q38" t="str">
        <x:v>United States</x:v>
      </x:c>
      <x:c r="R38" t="str">
        <x:v>English</x:v>
      </x:c>
      <x:c r="S38" t="n">
        <x:v>15</x:v>
      </x:c>
      <x:c r="T38" t="n">
        <x:v>150000000</x:v>
      </x:c>
      <x:c r="U38" t="n">
        <x:v>742128461</x:v>
      </x:c>
      <x:c r="V38" t="n">
        <x:v>0</x:v>
      </x:c>
      <x:c r="W38" t="n">
        <x:v>0</x:v>
      </x:c>
    </x:row>
    <x:row r="39">
      <x:c r="J39" t="n">
        <x:v>37</x:v>
      </x:c>
      <x:c r="K39" t="str">
        <x:v>The Da Vinci Code</x:v>
      </x:c>
      <x:c r="L39" t="n">
        <x:v>38856</x:v>
      </x:c>
      <x:c r="M39" t="n">
        <x:v>146</x:v>
      </x:c>
      <x:c r="N39" t="str">
        <x:v>Mystery</x:v>
      </x:c>
      <x:c r="O39" t="str">
        <x:v>Ron Howard</x:v>
      </x:c>
      <x:c r="P39" t="str">
        <x:v>Imagine Entertainment</x:v>
      </x:c>
      <x:c r="Q39" t="str">
        <x:v>United States</x:v>
      </x:c>
      <x:c r="R39" t="str">
        <x:v>English</x:v>
      </x:c>
      <x:c r="S39" t="str">
        <x:v>12A</x:v>
      </x:c>
      <x:c r="T39" t="n">
        <x:v>125000000</x:v>
      </x:c>
      <x:c r="U39" t="n">
        <x:v>758239851</x:v>
      </x:c>
      <x:c r="V39" t="n">
        <x:v>0</x:v>
      </x:c>
      <x:c r="W39" t="n">
        <x:v>0</x:v>
      </x:c>
    </x:row>
    <x:row r="40">
      <x:c r="J40" t="n">
        <x:v>38</x:v>
      </x:c>
      <x:c r="K40" t="str">
        <x:v>Harry Potter and the Philosopher's Stone</x:v>
      </x:c>
      <x:c r="L40" t="n">
        <x:v>37211</x:v>
      </x:c>
      <x:c r="M40" t="n">
        <x:v>152</x:v>
      </x:c>
      <x:c r="N40" t="str">
        <x:v>Fantasy</x:v>
      </x:c>
      <x:c r="O40" t="str">
        <x:v>Chris Columbus</x:v>
      </x:c>
      <x:c r="P40" t="str">
        <x:v>Heyday Films</x:v>
      </x:c>
      <x:c r="Q40" t="str">
        <x:v>United Kingdom</x:v>
      </x:c>
      <x:c r="R40" t="str">
        <x:v>English</x:v>
      </x:c>
      <x:c r="S40" t="str">
        <x:v>PG</x:v>
      </x:c>
      <x:c r="T40" t="n">
        <x:v>125000000</x:v>
      </x:c>
      <x:c r="U40" t="n">
        <x:v>974800000</x:v>
      </x:c>
      <x:c r="V40" t="n">
        <x:v>3</x:v>
      </x:c>
      <x:c r="W40" t="n">
        <x:v>0</x:v>
      </x:c>
    </x:row>
    <x:row r="41">
      <x:c r="J41" t="n">
        <x:v>39</x:v>
      </x:c>
      <x:c r="K41" t="str">
        <x:v>The Day After Tomorrow</x:v>
      </x:c>
      <x:c r="L41" t="n">
        <x:v>38133</x:v>
      </x:c>
      <x:c r="M41" t="n">
        <x:v>124</x:v>
      </x:c>
      <x:c r="N41" t="str">
        <x:v>Thriller</x:v>
      </x:c>
      <x:c r="O41" t="str">
        <x:v>Roland Emmerich</x:v>
      </x:c>
      <x:c r="P41" t="str">
        <x:v>Centropolis Entertainment</x:v>
      </x:c>
      <x:c r="Q41" t="str">
        <x:v>United States</x:v>
      </x:c>
      <x:c r="R41" t="str">
        <x:v>English</x:v>
      </x:c>
      <x:c r="S41" t="str">
        <x:v>12A</x:v>
      </x:c>
      <x:c r="T41" t="n">
        <x:v>125000000</x:v>
      </x:c>
      <x:c r="U41" t="n">
        <x:v>542772402</x:v>
      </x:c>
      <x:c r="V41" t="n">
        <x:v>0</x:v>
      </x:c>
      <x:c r="W41" t="n">
        <x:v>0</x:v>
      </x:c>
    </x:row>
    <x:row r="42">
      <x:c r="J42" t="n">
        <x:v>40</x:v>
      </x:c>
      <x:c r="K42" t="str">
        <x:v>Pirates of the Caribbean: Curse of the Black Pearl</x:v>
      </x:c>
      <x:c r="L42" t="n">
        <x:v>37811</x:v>
      </x:c>
      <x:c r="M42" t="n">
        <x:v>135</x:v>
      </x:c>
      <x:c r="N42" t="str">
        <x:v>Adventure</x:v>
      </x:c>
      <x:c r="O42" t="str">
        <x:v>Gore Verbinski</x:v>
      </x:c>
      <x:c r="P42" t="str">
        <x:v>Walt Disney Pictures</x:v>
      </x:c>
      <x:c r="Q42" t="str">
        <x:v>United States</x:v>
      </x:c>
      <x:c r="R42" t="str">
        <x:v>English</x:v>
      </x:c>
      <x:c r="S42" t="n">
        <x:v>12</x:v>
      </x:c>
      <x:c r="T42" t="n">
        <x:v>140000000</x:v>
      </x:c>
      <x:c r="U42" t="n">
        <x:v>654264015</x:v>
      </x:c>
      <x:c r="V42" t="n">
        <x:v>5</x:v>
      </x:c>
      <x:c r="W42" t="n">
        <x:v>0</x:v>
      </x:c>
    </x:row>
    <x:row r="43">
      <x:c r="J43" t="n">
        <x:v>41</x:v>
      </x:c>
      <x:c r="K43" t="str">
        <x:v>The Last Samurai</x:v>
      </x:c>
      <x:c r="L43" t="n">
        <x:v>37960</x:v>
      </x:c>
      <x:c r="M43" t="n">
        <x:v>154</x:v>
      </x:c>
      <x:c r="N43" t="str">
        <x:v>Adventure</x:v>
      </x:c>
      <x:c r="O43" t="str">
        <x:v>Edward Zwick</x:v>
      </x:c>
      <x:c r="P43" t="str">
        <x:v>Radar Pictures</x:v>
      </x:c>
      <x:c r="Q43" t="str">
        <x:v>United States</x:v>
      </x:c>
      <x:c r="R43" t="str">
        <x:v>English</x:v>
      </x:c>
      <x:c r="S43" t="n">
        <x:v>15</x:v>
      </x:c>
      <x:c r="T43" t="n">
        <x:v>140000000</x:v>
      </x:c>
      <x:c r="U43" t="n">
        <x:v>456758981</x:v>
      </x:c>
      <x:c r="V43" t="n">
        <x:v>4</x:v>
      </x:c>
      <x:c r="W43" t="n">
        <x:v>0</x:v>
      </x:c>
    </x:row>
    <x:row r="44">
      <x:c r="J44" t="n">
        <x:v>42</x:v>
      </x:c>
      <x:c r="K44" t="str">
        <x:v>The Perfect Storm</x:v>
      </x:c>
      <x:c r="L44" t="n">
        <x:v>36707</x:v>
      </x:c>
      <x:c r="M44" t="n">
        <x:v>130</x:v>
      </x:c>
      <x:c r="N44" t="str">
        <x:v>Adventure</x:v>
      </x:c>
      <x:c r="O44" t="str">
        <x:v>Wolfgang Peterson</x:v>
      </x:c>
      <x:c r="P44" t="str">
        <x:v>Warner Bros. Pictures</x:v>
      </x:c>
      <x:c r="Q44" t="str">
        <x:v>United States</x:v>
      </x:c>
      <x:c r="R44" t="str">
        <x:v>English</x:v>
      </x:c>
      <x:c r="S44" t="n">
        <x:v>12</x:v>
      </x:c>
      <x:c r="T44" t="n">
        <x:v>120000000</x:v>
      </x:c>
      <x:c r="U44" t="n">
        <x:v>328718434</x:v>
      </x:c>
      <x:c r="V44" t="n">
        <x:v>2</x:v>
      </x:c>
      <x:c r="W44" t="n">
        <x:v>0</x:v>
      </x:c>
    </x:row>
    <x:row r="45">
      <x:c r="J45" t="n">
        <x:v>43</x:v>
      </x:c>
      <x:c r="K45" t="str">
        <x:v>Mission: Impossible III</x:v>
      </x:c>
      <x:c r="L45" t="n">
        <x:v>38841</x:v>
      </x:c>
      <x:c r="M45" t="n">
        <x:v>125</x:v>
      </x:c>
      <x:c r="N45" t="str">
        <x:v>Thriller</x:v>
      </x:c>
      <x:c r="O45" t="str">
        <x:v>J. J. Abrams</x:v>
      </x:c>
      <x:c r="P45" t="str">
        <x:v>Cruise Wagner Productions</x:v>
      </x:c>
      <x:c r="Q45" t="str">
        <x:v>United States</x:v>
      </x:c>
      <x:c r="R45" t="str">
        <x:v>English</x:v>
      </x:c>
      <x:c r="S45" t="str">
        <x:v>12A</x:v>
      </x:c>
      <x:c r="T45" t="n">
        <x:v>150000000</x:v>
      </x:c>
      <x:c r="U45" t="n">
        <x:v>397850012</x:v>
      </x:c>
      <x:c r="V45" t="n">
        <x:v>0</x:v>
      </x:c>
      <x:c r="W45" t="n">
        <x:v>0</x:v>
      </x:c>
    </x:row>
    <x:row r="46">
      <x:c r="J46" t="n">
        <x:v>44</x:v>
      </x:c>
      <x:c r="K46" t="str">
        <x:v>Mission: Impossible II</x:v>
      </x:c>
      <x:c r="L46" t="n">
        <x:v>36670</x:v>
      </x:c>
      <x:c r="M46" t="n">
        <x:v>123</x:v>
      </x:c>
      <x:c r="N46" t="str">
        <x:v>Thriller</x:v>
      </x:c>
      <x:c r="O46" t="str">
        <x:v>John Woo</x:v>
      </x:c>
      <x:c r="P46" t="str">
        <x:v>Cruise Wagner Productions</x:v>
      </x:c>
      <x:c r="Q46" t="str">
        <x:v>United States</x:v>
      </x:c>
      <x:c r="R46" t="str">
        <x:v>English</x:v>
      </x:c>
      <x:c r="S46" t="n">
        <x:v>15</x:v>
      </x:c>
      <x:c r="T46" t="n">
        <x:v>125000000</x:v>
      </x:c>
      <x:c r="U46" t="n">
        <x:v>546388105</x:v>
      </x:c>
      <x:c r="V46" t="n">
        <x:v>0</x:v>
      </x:c>
      <x:c r="W46" t="n">
        <x:v>0</x:v>
      </x:c>
    </x:row>
    <x:row r="47">
      <x:c r="J47" t="n">
        <x:v>45</x:v>
      </x:c>
      <x:c r="K47" t="str">
        <x:v>Windtalkers</x:v>
      </x:c>
      <x:c r="L47" t="n">
        <x:v>37498</x:v>
      </x:c>
      <x:c r="M47" t="n">
        <x:v>134</x:v>
      </x:c>
      <x:c r="N47" t="str">
        <x:v>War</x:v>
      </x:c>
      <x:c r="O47" t="str">
        <x:v>John Woo</x:v>
      </x:c>
      <x:c r="P47" t="str">
        <x:v>Lion Rock Productions</x:v>
      </x:c>
      <x:c r="Q47" t="str">
        <x:v>United States</x:v>
      </x:c>
      <x:c r="R47" t="str">
        <x:v>English</x:v>
      </x:c>
      <x:c r="S47" t="n">
        <x:v>15</x:v>
      </x:c>
      <x:c r="T47" t="n">
        <x:v>115000000</x:v>
      </x:c>
      <x:c r="U47" t="n">
        <x:v>77628265</x:v>
      </x:c>
      <x:c r="V47" t="n">
        <x:v>0</x:v>
      </x:c>
      <x:c r="W47" t="n">
        <x:v>0</x:v>
      </x:c>
    </x:row>
    <x:row r="48">
      <x:c r="J48" t="n">
        <x:v>46</x:v>
      </x:c>
      <x:c r="K48" t="str">
        <x:v>Star Wars: Episode II - Attack of the Clones</x:v>
      </x:c>
      <x:c r="L48" t="n">
        <x:v>37392</x:v>
      </x:c>
      <x:c r="M48" t="n">
        <x:v>142</x:v>
      </x:c>
      <x:c r="N48" t="str">
        <x:v>Science Fiction</x:v>
      </x:c>
      <x:c r="O48" t="str">
        <x:v>George Lucas</x:v>
      </x:c>
      <x:c r="P48" t="str">
        <x:v>Lucasfilm</x:v>
      </x:c>
      <x:c r="Q48" t="str">
        <x:v>United States</x:v>
      </x:c>
      <x:c r="R48" t="str">
        <x:v>English</x:v>
      </x:c>
      <x:c r="S48" t="str">
        <x:v>PG</x:v>
      </x:c>
      <x:c r="T48" t="n">
        <x:v>115000000</x:v>
      </x:c>
      <x:c r="U48" t="n">
        <x:v>649400000</x:v>
      </x:c>
      <x:c r="V48" t="n">
        <x:v>1</x:v>
      </x:c>
      <x:c r="W48" t="n">
        <x:v>0</x:v>
      </x:c>
    </x:row>
    <x:row r="49">
      <x:c r="J49" t="n">
        <x:v>47</x:v>
      </x:c>
      <x:c r="K49" t="str">
        <x:v>Monsters, Inc.</x:v>
      </x:c>
      <x:c r="L49" t="n">
        <x:v>37295</x:v>
      </x:c>
      <x:c r="M49" t="n">
        <x:v>92</x:v>
      </x:c>
      <x:c r="N49" t="str">
        <x:v>Animation</x:v>
      </x:c>
      <x:c r="O49" t="str">
        <x:v>Pete Docter</x:v>
      </x:c>
      <x:c r="P49" t="str">
        <x:v>Pixar Animation Studios</x:v>
      </x:c>
      <x:c r="Q49" t="str">
        <x:v>United States</x:v>
      </x:c>
      <x:c r="R49" t="str">
        <x:v>English</x:v>
      </x:c>
      <x:c r="S49" t="str">
        <x:v>U</x:v>
      </x:c>
      <x:c r="T49" t="n">
        <x:v>115000000</x:v>
      </x:c>
      <x:c r="U49" t="n">
        <x:v>562800000</x:v>
      </x:c>
      <x:c r="V49" t="n">
        <x:v>4</x:v>
      </x:c>
      <x:c r="W49" t="n">
        <x:v>1</x:v>
      </x:c>
    </x:row>
    <x:row r="50">
      <x:c r="J50" t="n">
        <x:v>48</x:v>
      </x:c>
      <x:c r="K50" t="str">
        <x:v>Star Wars: Episode I - The Phantom Menace</x:v>
      </x:c>
      <x:c r="L50" t="n">
        <x:v>36299</x:v>
      </x:c>
      <x:c r="M50" t="n">
        <x:v>133</x:v>
      </x:c>
      <x:c r="N50" t="str">
        <x:v>Science Fiction</x:v>
      </x:c>
      <x:c r="O50" t="str">
        <x:v>George Lucas</x:v>
      </x:c>
      <x:c r="P50" t="str">
        <x:v>Lucasfilm</x:v>
      </x:c>
      <x:c r="Q50" t="str">
        <x:v>United States</x:v>
      </x:c>
      <x:c r="R50" t="str">
        <x:v>English</x:v>
      </x:c>
      <x:c r="S50" t="str">
        <x:v>U</x:v>
      </x:c>
      <x:c r="T50" t="n">
        <x:v>115000000</x:v>
      </x:c>
      <x:c r="U50" t="n">
        <x:v>1027000000</x:v>
      </x:c>
      <x:c r="V50" t="n">
        <x:v>3</x:v>
      </x:c>
      <x:c r="W50" t="n">
        <x:v>0</x:v>
      </x:c>
    </x:row>
    <x:row r="51">
      <x:c r="J51" t="n">
        <x:v>49</x:v>
      </x:c>
      <x:c r="K51" t="str">
        <x:v>Star Wars: Episode III - Revenge of the Sith</x:v>
      </x:c>
      <x:c r="L51" t="n">
        <x:v>38491</x:v>
      </x:c>
      <x:c r="M51" t="n">
        <x:v>140</x:v>
      </x:c>
      <x:c r="N51" t="str">
        <x:v>Science Fiction</x:v>
      </x:c>
      <x:c r="O51" t="str">
        <x:v>George Lucas</x:v>
      </x:c>
      <x:c r="P51" t="str">
        <x:v>Lucasfilm</x:v>
      </x:c>
      <x:c r="Q51" t="str">
        <x:v>United States</x:v>
      </x:c>
      <x:c r="R51" t="str">
        <x:v>English</x:v>
      </x:c>
      <x:c r="S51" t="str">
        <x:v>12A</x:v>
      </x:c>
      <x:c r="T51" t="n">
        <x:v>113000000</x:v>
      </x:c>
      <x:c r="U51" t="n">
        <x:v>848800000</x:v>
      </x:c>
      <x:c r="V51" t="n">
        <x:v>1</x:v>
      </x:c>
      <x:c r="W51" t="n">
        <x:v>0</x:v>
      </x:c>
    </x:row>
    <x:row r="52">
      <x:c r="J52" t="n">
        <x:v>50</x:v>
      </x:c>
      <x:c r="K52" t="str">
        <x:v>The Matrix Revolutions</x:v>
      </x:c>
      <x:c r="L52" t="n">
        <x:v>37930</x:v>
      </x:c>
      <x:c r="M52" t="n">
        <x:v>129</x:v>
      </x:c>
      <x:c r="N52" t="str">
        <x:v>Science Fiction</x:v>
      </x:c>
      <x:c r="O52" t="str">
        <x:v>Lilly (Andy) Wachowski</x:v>
      </x:c>
      <x:c r="P52" t="str">
        <x:v>Village Roadshow Pictures</x:v>
      </x:c>
      <x:c r="Q52" t="str">
        <x:v>United States</x:v>
      </x:c>
      <x:c r="R52" t="str">
        <x:v>English</x:v>
      </x:c>
      <x:c r="S52" t="n">
        <x:v>15</x:v>
      </x:c>
      <x:c r="T52" t="n">
        <x:v>150000000</x:v>
      </x:c>
      <x:c r="U52" t="n">
        <x:v>427343298</x:v>
      </x:c>
      <x:c r="V52" t="n">
        <x:v>0</x:v>
      </x:c>
      <x:c r="W52" t="n">
        <x:v>0</x:v>
      </x:c>
    </x:row>
    <x:row r="53">
      <x:c r="J53" t="n">
        <x:v>51</x:v>
      </x:c>
      <x:c r="K53" t="str">
        <x:v>Tomorrow Never Dies</x:v>
      </x:c>
      <x:c r="L53" t="n">
        <x:v>35776</x:v>
      </x:c>
      <x:c r="M53" t="n">
        <x:v>119</x:v>
      </x:c>
      <x:c r="N53" t="str">
        <x:v>Thriller</x:v>
      </x:c>
      <x:c r="O53" t="str">
        <x:v>Roger Spottiswoode</x:v>
      </x:c>
      <x:c r="P53" t="str">
        <x:v>Eon Productions</x:v>
      </x:c>
      <x:c r="Q53" t="str">
        <x:v>United Kingdom</x:v>
      </x:c>
      <x:c r="R53" t="str">
        <x:v>English</x:v>
      </x:c>
      <x:c r="S53" t="n">
        <x:v>12</x:v>
      </x:c>
      <x:c r="T53" t="n">
        <x:v>110000000</x:v>
      </x:c>
      <x:c r="U53" t="n">
        <x:v>333011068</x:v>
      </x:c>
      <x:c r="V53" t="n">
        <x:v>0</x:v>
      </x:c>
      <x:c r="W53" t="n">
        <x:v>0</x:v>
      </x:c>
    </x:row>
    <x:row r="54">
      <x:c r="J54" t="n">
        <x:v>52</x:v>
      </x:c>
      <x:c r="K54" t="str">
        <x:v>Ocean's Eleven</x:v>
      </x:c>
      <x:c r="L54" t="n">
        <x:v>37302</x:v>
      </x:c>
      <x:c r="M54" t="n">
        <x:v>117</x:v>
      </x:c>
      <x:c r="N54" t="str">
        <x:v>Crime</x:v>
      </x:c>
      <x:c r="O54" t="str">
        <x:v>Steven Soderbergh</x:v>
      </x:c>
      <x:c r="P54" t="str">
        <x:v>Jerry Weintraub Productions</x:v>
      </x:c>
      <x:c r="Q54" t="str">
        <x:v>United States</x:v>
      </x:c>
      <x:c r="R54" t="str">
        <x:v>English</x:v>
      </x:c>
      <x:c r="S54" t="n">
        <x:v>12</x:v>
      </x:c>
      <x:c r="T54" t="n">
        <x:v>85000000</x:v>
      </x:c>
      <x:c r="U54" t="n">
        <x:v>450717150</x:v>
      </x:c>
      <x:c r="V54" t="n">
        <x:v>0</x:v>
      </x:c>
      <x:c r="W54" t="n">
        <x:v>0</x:v>
      </x:c>
    </x:row>
    <x:row r="55">
      <x:c r="J55" t="n">
        <x:v>53</x:v>
      </x:c>
      <x:c r="K55" t="str">
        <x:v>Live Free or Die Hard</x:v>
      </x:c>
      <x:c r="L55" t="n">
        <x:v>39260</x:v>
      </x:c>
      <x:c r="M55" t="n">
        <x:v>130</x:v>
      </x:c>
      <x:c r="N55" t="str">
        <x:v>Action</x:v>
      </x:c>
      <x:c r="O55" t="str">
        <x:v>Len Wiseman</x:v>
      </x:c>
      <x:c r="P55" t="str">
        <x:v>Cheyenne Enterprises</x:v>
      </x:c>
      <x:c r="Q55" t="str">
        <x:v>United States</x:v>
      </x:c>
      <x:c r="R55" t="str">
        <x:v>English</x:v>
      </x:c>
      <x:c r="S55" t="n">
        <x:v>15</x:v>
      </x:c>
      <x:c r="T55" t="n">
        <x:v>110000000</x:v>
      </x:c>
      <x:c r="U55" t="n">
        <x:v>383500000</x:v>
      </x:c>
      <x:c r="V55" t="n">
        <x:v>0</x:v>
      </x:c>
      <x:c r="W55" t="n">
        <x:v>0</x:v>
      </x:c>
    </x:row>
    <x:row r="56">
      <x:c r="J56" t="n">
        <x:v>54</x:v>
      </x:c>
      <x:c r="K56" t="str">
        <x:v>Around the World in 80 Days</x:v>
      </x:c>
      <x:c r="L56" t="n">
        <x:v>38154</x:v>
      </x:c>
      <x:c r="M56" t="n">
        <x:v>120</x:v>
      </x:c>
      <x:c r="N56" t="str">
        <x:v>Adventure</x:v>
      </x:c>
      <x:c r="O56" t="str">
        <x:v>Frank Coraci</x:v>
      </x:c>
      <x:c r="P56" t="str">
        <x:v>Walden Media</x:v>
      </x:c>
      <x:c r="Q56" t="str">
        <x:v>United States</x:v>
      </x:c>
      <x:c r="R56" t="str">
        <x:v>English</x:v>
      </x:c>
      <x:c r="S56" t="str">
        <x:v>PG</x:v>
      </x:c>
      <x:c r="T56" t="n">
        <x:v>110000000</x:v>
      </x:c>
      <x:c r="U56" t="n">
        <x:v>72178895</x:v>
      </x:c>
      <x:c r="V56" t="n">
        <x:v>0</x:v>
      </x:c>
      <x:c r="W56" t="n">
        <x:v>0</x:v>
      </x:c>
    </x:row>
    <x:row r="57">
      <x:c r="J57" t="n">
        <x:v>55</x:v>
      </x:c>
      <x:c r="K57" t="str">
        <x:v>Kingdom of Heaven</x:v>
      </x:c>
      <x:c r="L57" t="n">
        <x:v>38478</x:v>
      </x:c>
      <x:c r="M57" t="n">
        <x:v>144</x:v>
      </x:c>
      <x:c r="N57" t="str">
        <x:v>Adventure</x:v>
      </x:c>
      <x:c r="O57" t="str">
        <x:v>Ridley Scott</x:v>
      </x:c>
      <x:c r="P57" t="str">
        <x:v>Scott Free Productions</x:v>
      </x:c>
      <x:c r="Q57" t="str">
        <x:v>United States</x:v>
      </x:c>
      <x:c r="R57" t="str">
        <x:v>English</x:v>
      </x:c>
      <x:c r="S57" t="n">
        <x:v>15</x:v>
      </x:c>
      <x:c r="T57" t="n">
        <x:v>130000000</x:v>
      </x:c>
      <x:c r="U57" t="n">
        <x:v>211398413</x:v>
      </x:c>
      <x:c r="V57" t="n">
        <x:v>0</x:v>
      </x:c>
      <x:c r="W57" t="n">
        <x:v>0</x:v>
      </x:c>
    </x:row>
    <x:row r="58">
      <x:c r="J58" t="n">
        <x:v>56</x:v>
      </x:c>
      <x:c r="K58" t="str">
        <x:v>Mr. &amp; Mrs. Smith</x:v>
      </x:c>
      <x:c r="L58" t="n">
        <x:v>38513</x:v>
      </x:c>
      <x:c r="M58" t="n">
        <x:v>120</x:v>
      </x:c>
      <x:c r="N58" t="str">
        <x:v>Action</x:v>
      </x:c>
      <x:c r="O58" t="str">
        <x:v>Doug Liman</x:v>
      </x:c>
      <x:c r="P58" t="str">
        <x:v>Regency Enterprises</x:v>
      </x:c>
      <x:c r="Q58" t="str">
        <x:v>United States</x:v>
      </x:c>
      <x:c r="R58" t="str">
        <x:v>English</x:v>
      </x:c>
      <x:c r="S58" t="n">
        <x:v>15</x:v>
      </x:c>
      <x:c r="T58" t="n">
        <x:v>110000000</x:v>
      </x:c>
      <x:c r="U58" t="n">
        <x:v>478336279</x:v>
      </x:c>
      <x:c r="V58" t="n">
        <x:v>0</x:v>
      </x:c>
      <x:c r="W58" t="n">
        <x:v>0</x:v>
      </x:c>
    </x:row>
    <x:row r="59">
      <x:c r="J59" t="n">
        <x:v>57</x:v>
      </x:c>
      <x:c r="K59" t="str">
        <x:v>The Aviator</x:v>
      </x:c>
      <x:c r="L59" t="n">
        <x:v>38346</x:v>
      </x:c>
      <x:c r="M59" t="n">
        <x:v>170</x:v>
      </x:c>
      <x:c r="N59" t="str">
        <x:v>Biography</x:v>
      </x:c>
      <x:c r="O59" t="str">
        <x:v>Martin Scorsese</x:v>
      </x:c>
      <x:c r="P59" t="str">
        <x:v>Forward Pass</x:v>
      </x:c>
      <x:c r="Q59" t="str">
        <x:v>United States</x:v>
      </x:c>
      <x:c r="R59" t="str">
        <x:v>English</x:v>
      </x:c>
      <x:c r="S59" t="str">
        <x:v>12A</x:v>
      </x:c>
      <x:c r="T59" t="n">
        <x:v>110000000</x:v>
      </x:c>
      <x:c r="U59" t="n">
        <x:v>214608827</x:v>
      </x:c>
      <x:c r="V59" t="n">
        <x:v>11</x:v>
      </x:c>
      <x:c r="W59" t="n">
        <x:v>5</x:v>
      </x:c>
    </x:row>
    <x:row r="60">
      <x:c r="J60" t="n">
        <x:v>58</x:v>
      </x:c>
      <x:c r="K60" t="str">
        <x:v>Ali</x:v>
      </x:c>
      <x:c r="L60" t="n">
        <x:v>37250</x:v>
      </x:c>
      <x:c r="M60" t="n">
        <x:v>157</x:v>
      </x:c>
      <x:c r="N60" t="str">
        <x:v>Biography</x:v>
      </x:c>
      <x:c r="O60" t="str">
        <x:v>Michael Mann</x:v>
      </x:c>
      <x:c r="P60" t="str">
        <x:v>Peters Entertainment</x:v>
      </x:c>
      <x:c r="Q60" t="str">
        <x:v>United States</x:v>
      </x:c>
      <x:c r="R60" t="str">
        <x:v>English</x:v>
      </x:c>
      <x:c r="S60" t="n">
        <x:v>15</x:v>
      </x:c>
      <x:c r="T60" t="n">
        <x:v>107000000</x:v>
      </x:c>
      <x:c r="U60" t="n">
        <x:v>87713825</x:v>
      </x:c>
      <x:c r="V60" t="n">
        <x:v>0</x:v>
      </x:c>
      <x:c r="W60" t="n">
        <x:v>0</x:v>
      </x:c>
    </x:row>
    <x:row r="61">
      <x:c r="J61" t="n">
        <x:v>59</x:v>
      </x:c>
      <x:c r="K61" t="str">
        <x:v>The Lord of the Rings: Fellowship of the Ring</x:v>
      </x:c>
      <x:c r="L61" t="n">
        <x:v>37244</x:v>
      </x:c>
      <x:c r="M61" t="n">
        <x:v>178</x:v>
      </x:c>
      <x:c r="N61" t="str">
        <x:v>Fantasy</x:v>
      </x:c>
      <x:c r="O61" t="str">
        <x:v>Peter Jackson</x:v>
      </x:c>
      <x:c r="P61" t="str">
        <x:v>WingNut Films</x:v>
      </x:c>
      <x:c r="Q61" t="str">
        <x:v>New Zealand</x:v>
      </x:c>
      <x:c r="R61" t="str">
        <x:v>English</x:v>
      </x:c>
      <x:c r="S61" t="str">
        <x:v>PG</x:v>
      </x:c>
      <x:c r="T61" t="n">
        <x:v>93000000</x:v>
      </x:c>
      <x:c r="U61" t="n">
        <x:v>871530324</x:v>
      </x:c>
      <x:c r="V61" t="n">
        <x:v>13</x:v>
      </x:c>
      <x:c r="W61" t="n">
        <x:v>4</x:v>
      </x:c>
    </x:row>
    <x:row r="62">
      <x:c r="J62" t="n">
        <x:v>60</x:v>
      </x:c>
      <x:c r="K62" t="str">
        <x:v>I, Robot</x:v>
      </x:c>
      <x:c r="L62" t="n">
        <x:v>38183</x:v>
      </x:c>
      <x:c r="M62" t="n">
        <x:v>115</x:v>
      </x:c>
      <x:c r="N62" t="str">
        <x:v>Science Fiction</x:v>
      </x:c>
      <x:c r="O62" t="str">
        <x:v>Alex Proyas</x:v>
      </x:c>
      <x:c r="P62" t="str">
        <x:v>Davis Entertainment</x:v>
      </x:c>
      <x:c r="Q62" t="str">
        <x:v>United States</x:v>
      </x:c>
      <x:c r="R62" t="str">
        <x:v>English</x:v>
      </x:c>
      <x:c r="S62" t="str">
        <x:v>12A</x:v>
      </x:c>
      <x:c r="T62" t="n">
        <x:v>120000000</x:v>
      </x:c>
      <x:c r="U62" t="n">
        <x:v>347234916</x:v>
      </x:c>
      <x:c r="V62" t="n">
        <x:v>1</x:v>
      </x:c>
      <x:c r="W62" t="n">
        <x:v>0</x:v>
      </x:c>
    </x:row>
    <x:row r="63">
      <x:c r="J63" t="n">
        <x:v>61</x:v>
      </x:c>
      <x:c r="K63" t="str">
        <x:v>Casino Royale</x:v>
      </x:c>
      <x:c r="L63" t="n">
        <x:v>39035</x:v>
      </x:c>
      <x:c r="M63" t="n">
        <x:v>144</x:v>
      </x:c>
      <x:c r="N63" t="str">
        <x:v>Thriller</x:v>
      </x:c>
      <x:c r="O63" t="str">
        <x:v>Martin Campbell</x:v>
      </x:c>
      <x:c r="P63" t="str">
        <x:v>Eon Productions</x:v>
      </x:c>
      <x:c r="Q63" t="str">
        <x:v>United Kingdom</x:v>
      </x:c>
      <x:c r="R63" t="str">
        <x:v>English</x:v>
      </x:c>
      <x:c r="S63" t="str">
        <x:v>12A</x:v>
      </x:c>
      <x:c r="T63" t="n">
        <x:v>150000000</x:v>
      </x:c>
      <x:c r="U63" t="n">
        <x:v>599000000</x:v>
      </x:c>
      <x:c r="V63" t="n">
        <x:v>0</x:v>
      </x:c>
      <x:c r="W63" t="n">
        <x:v>0</x:v>
      </x:c>
    </x:row>
    <x:row r="64">
      <x:c r="J64" t="n">
        <x:v>62</x:v>
      </x:c>
      <x:c r="K64" t="str">
        <x:v>Minority Report</x:v>
      </x:c>
      <x:c r="L64" t="n">
        <x:v>37441</x:v>
      </x:c>
      <x:c r="M64" t="n">
        <x:v>145</x:v>
      </x:c>
      <x:c r="N64" t="str">
        <x:v>Science Fiction</x:v>
      </x:c>
      <x:c r="O64" t="str">
        <x:v>Steven Spielberg</x:v>
      </x:c>
      <x:c r="P64" t="str">
        <x:v>Amblin Entertainment</x:v>
      </x:c>
      <x:c r="Q64" t="str">
        <x:v>United States</x:v>
      </x:c>
      <x:c r="R64" t="str">
        <x:v>English</x:v>
      </x:c>
      <x:c r="S64" t="n">
        <x:v>12</x:v>
      </x:c>
      <x:c r="T64" t="n">
        <x:v>102000000</x:v>
      </x:c>
      <x:c r="U64" t="n">
        <x:v>358300000</x:v>
      </x:c>
      <x:c r="V64" t="n">
        <x:v>1</x:v>
      </x:c>
      <x:c r="W64" t="n">
        <x:v>0</x:v>
      </x:c>
    </x:row>
    <x:row r="65">
      <x:c r="J65" t="n">
        <x:v>63</x:v>
      </x:c>
      <x:c r="K65" t="str">
        <x:v>Terminator 2: Judgement Day</x:v>
      </x:c>
      <x:c r="L65" t="n">
        <x:v>33466</x:v>
      </x:c>
      <x:c r="M65" t="n">
        <x:v>136</x:v>
      </x:c>
      <x:c r="N65" t="str">
        <x:v>Science Fiction</x:v>
      </x:c>
      <x:c r="O65" t="str">
        <x:v>James Cameron</x:v>
      </x:c>
      <x:c r="P65" t="str">
        <x:v>Carolco Pictures</x:v>
      </x:c>
      <x:c r="Q65" t="str">
        <x:v>United States</x:v>
      </x:c>
      <x:c r="R65" t="str">
        <x:v>English</x:v>
      </x:c>
      <x:c r="S65" t="n">
        <x:v>15</x:v>
      </x:c>
      <x:c r="T65" t="n">
        <x:v>100000000</x:v>
      </x:c>
      <x:c r="U65" t="n">
        <x:v>516816151</x:v>
      </x:c>
      <x:c r="V65" t="n">
        <x:v>4</x:v>
      </x:c>
      <x:c r="W65" t="n">
        <x:v>6</x:v>
      </x:c>
    </x:row>
    <x:row r="66">
      <x:c r="J66" t="n">
        <x:v>64</x:v>
      </x:c>
      <x:c r="K66" t="str">
        <x:v>Catwoman</x:v>
      </x:c>
      <x:c r="L66" t="n">
        <x:v>38212</x:v>
      </x:c>
      <x:c r="M66" t="n">
        <x:v>104</x:v>
      </x:c>
      <x:c r="N66" t="str">
        <x:v>Action</x:v>
      </x:c>
      <x:c r="O66" t="str">
        <x:v>Jean-Christophe Comar</x:v>
      </x:c>
      <x:c r="P66" t="str">
        <x:v>Village Roadshow Pictures</x:v>
      </x:c>
      <x:c r="Q66" t="str">
        <x:v>United States</x:v>
      </x:c>
      <x:c r="R66" t="str">
        <x:v>English</x:v>
      </x:c>
      <x:c r="S66" t="str">
        <x:v>12A</x:v>
      </x:c>
      <x:c r="T66" t="n">
        <x:v>100000000</x:v>
      </x:c>
      <x:c r="U66" t="n">
        <x:v>82102379</x:v>
      </x:c>
      <x:c r="V66" t="n">
        <x:v>0</x:v>
      </x:c>
      <x:c r="W66" t="n">
        <x:v>0</x:v>
      </x:c>
    </x:row>
    <x:row r="67">
      <x:c r="J67" t="n">
        <x:v>65</x:v>
      </x:c>
      <x:c r="K67" t="str">
        <x:v>Harry Potter and the Chamber of Secrets</x:v>
      </x:c>
      <x:c r="L67" t="n">
        <x:v>37575</x:v>
      </x:c>
      <x:c r="M67" t="n">
        <x:v>155</x:v>
      </x:c>
      <x:c r="N67" t="str">
        <x:v>Fantasy</x:v>
      </x:c>
      <x:c r="O67" t="str">
        <x:v>Chris Columbus</x:v>
      </x:c>
      <x:c r="P67" t="str">
        <x:v>Heyday Films</x:v>
      </x:c>
      <x:c r="Q67" t="str">
        <x:v>United Kingdom</x:v>
      </x:c>
      <x:c r="R67" t="str">
        <x:v>English</x:v>
      </x:c>
      <x:c r="S67" t="str">
        <x:v>PG</x:v>
      </x:c>
      <x:c r="T67" t="n">
        <x:v>100000000</x:v>
      </x:c>
      <x:c r="U67" t="n">
        <x:v>878979634</x:v>
      </x:c>
      <x:c r="V67" t="n">
        <x:v>0</x:v>
      </x:c>
      <x:c r="W67" t="n">
        <x:v>0</x:v>
      </x:c>
    </x:row>
    <x:row r="68">
      <x:c r="J68" t="n">
        <x:v>66</x:v>
      </x:c>
      <x:c r="K68" t="str">
        <x:v>American Gangster</x:v>
      </x:c>
      <x:c r="L68" t="n">
        <x:v>39402</x:v>
      </x:c>
      <x:c r="M68" t="n">
        <x:v>158</x:v>
      </x:c>
      <x:c r="N68" t="str">
        <x:v>Biography</x:v>
      </x:c>
      <x:c r="O68" t="str">
        <x:v>Ridley Scott</x:v>
      </x:c>
      <x:c r="P68" t="str">
        <x:v>Imagine Entertainment</x:v>
      </x:c>
      <x:c r="Q68" t="str">
        <x:v>United States</x:v>
      </x:c>
      <x:c r="R68" t="str">
        <x:v>English</x:v>
      </x:c>
      <x:c r="S68" t="n">
        <x:v>18</x:v>
      </x:c>
      <x:c r="T68" t="n">
        <x:v>100000000</x:v>
      </x:c>
      <x:c r="U68" t="n">
        <x:v>266465037</x:v>
      </x:c>
      <x:c r="V68" t="n">
        <x:v>2</x:v>
      </x:c>
      <x:c r="W68" t="n">
        <x:v>0</x:v>
      </x:c>
    </x:row>
    <x:row r="69">
      <x:c r="J69" t="n">
        <x:v>67</x:v>
      </x:c>
      <x:c r="K69" t="str">
        <x:v>Blood Diamond</x:v>
      </x:c>
      <x:c r="L69" t="n">
        <x:v>39059</x:v>
      </x:c>
      <x:c r="M69" t="n">
        <x:v>143</x:v>
      </x:c>
      <x:c r="N69" t="str">
        <x:v>Adventure</x:v>
      </x:c>
      <x:c r="O69" t="str">
        <x:v>Edward Zwick</x:v>
      </x:c>
      <x:c r="P69" t="str">
        <x:v>The Bedford Falls Company</x:v>
      </x:c>
      <x:c r="Q69" t="str">
        <x:v>United States</x:v>
      </x:c>
      <x:c r="R69" t="str">
        <x:v>English</x:v>
      </x:c>
      <x:c r="S69" t="n">
        <x:v>15</x:v>
      </x:c>
      <x:c r="T69" t="n">
        <x:v>100000000</x:v>
      </x:c>
      <x:c r="U69" t="n">
        <x:v>171407179</x:v>
      </x:c>
      <x:c r="V69" t="n">
        <x:v>5</x:v>
      </x:c>
      <x:c r="W69" t="n">
        <x:v>0</x:v>
      </x:c>
    </x:row>
    <x:row r="70">
      <x:c r="J70" t="n">
        <x:v>68</x:v>
      </x:c>
      <x:c r="K70" t="str">
        <x:v>Gladiator</x:v>
      </x:c>
      <x:c r="L70" t="n">
        <x:v>36651</x:v>
      </x:c>
      <x:c r="M70" t="n">
        <x:v>155</x:v>
      </x:c>
      <x:c r="N70" t="str">
        <x:v>Adventure</x:v>
      </x:c>
      <x:c r="O70" t="str">
        <x:v>Ridley Scott</x:v>
      </x:c>
      <x:c r="P70" t="str">
        <x:v>Scott Free Productions</x:v>
      </x:c>
      <x:c r="Q70" t="str">
        <x:v>United States</x:v>
      </x:c>
      <x:c r="R70" t="str">
        <x:v>English</x:v>
      </x:c>
      <x:c r="S70" t="n">
        <x:v>15</x:v>
      </x:c>
      <x:c r="T70" t="n">
        <x:v>103000000</x:v>
      </x:c>
      <x:c r="U70" t="n">
        <x:v>457600000</x:v>
      </x:c>
      <x:c r="V70" t="n">
        <x:v>12</x:v>
      </x:c>
      <x:c r="W70" t="n">
        <x:v>5</x:v>
      </x:c>
    </x:row>
    <x:row r="71">
      <x:c r="J71" t="n">
        <x:v>69</x:v>
      </x:c>
      <x:c r="K71" t="str">
        <x:v>True Lies</x:v>
      </x:c>
      <x:c r="L71" t="n">
        <x:v>34530</x:v>
      </x:c>
      <x:c r="M71" t="n">
        <x:v>141</x:v>
      </x:c>
      <x:c r="N71" t="str">
        <x:v>Thriller</x:v>
      </x:c>
      <x:c r="O71" t="str">
        <x:v>James Cameron</x:v>
      </x:c>
      <x:c r="P71" t="str">
        <x:v>Lightstorm Entertainment</x:v>
      </x:c>
      <x:c r="Q71" t="str">
        <x:v>United States</x:v>
      </x:c>
      <x:c r="R71" t="str">
        <x:v>English</x:v>
      </x:c>
      <x:c r="S71" t="n">
        <x:v>15</x:v>
      </x:c>
      <x:c r="T71" t="n">
        <x:v>100000000</x:v>
      </x:c>
      <x:c r="U71" t="n">
        <x:v>378882411</x:v>
      </x:c>
      <x:c r="V71" t="n">
        <x:v>1</x:v>
      </x:c>
      <x:c r="W71" t="n">
        <x:v>0</x:v>
      </x:c>
    </x:row>
    <x:row r="72">
      <x:c r="J72" t="n">
        <x:v>70</x:v>
      </x:c>
      <x:c r="K72" t="str">
        <x:v>Gangs of New York</x:v>
      </x:c>
      <x:c r="L72" t="n">
        <x:v>37610</x:v>
      </x:c>
      <x:c r="M72" t="n">
        <x:v>160</x:v>
      </x:c>
      <x:c r="N72" t="str">
        <x:v>Drama</x:v>
      </x:c>
      <x:c r="O72" t="str">
        <x:v>Martin Scorsese</x:v>
      </x:c>
      <x:c r="P72" t="str">
        <x:v>Touchstone Pictures</x:v>
      </x:c>
      <x:c r="Q72" t="str">
        <x:v>United States</x:v>
      </x:c>
      <x:c r="R72" t="str">
        <x:v>English</x:v>
      </x:c>
      <x:c r="S72" t="n">
        <x:v>18</x:v>
      </x:c>
      <x:c r="T72" t="n">
        <x:v>97000000</x:v>
      </x:c>
      <x:c r="U72" t="n">
        <x:v>193772504</x:v>
      </x:c>
      <x:c r="V72" t="n">
        <x:v>10</x:v>
      </x:c>
      <x:c r="W72" t="n">
        <x:v>0</x:v>
      </x:c>
    </x:row>
    <x:row r="73">
      <x:c r="J73" t="n">
        <x:v>71</x:v>
      </x:c>
      <x:c r="K73" t="str">
        <x:v>Black Hawk Down</x:v>
      </x:c>
      <x:c r="L73" t="n">
        <x:v>37274</x:v>
      </x:c>
      <x:c r="M73" t="n">
        <x:v>144</x:v>
      </x:c>
      <x:c r="N73" t="str">
        <x:v>War</x:v>
      </x:c>
      <x:c r="O73" t="str">
        <x:v>Ridley Scott</x:v>
      </x:c>
      <x:c r="P73" t="str">
        <x:v>Revolution Studios</x:v>
      </x:c>
      <x:c r="Q73" t="str">
        <x:v>United States</x:v>
      </x:c>
      <x:c r="R73" t="str">
        <x:v>English</x:v>
      </x:c>
      <x:c r="S73" t="n">
        <x:v>15</x:v>
      </x:c>
      <x:c r="T73" t="n">
        <x:v>92000000</x:v>
      </x:c>
      <x:c r="U73" t="n">
        <x:v>172989651</x:v>
      </x:c>
      <x:c r="V73" t="n">
        <x:v>4</x:v>
      </x:c>
      <x:c r="W73" t="n">
        <x:v>2</x:v>
      </x:c>
    </x:row>
    <x:row r="74">
      <x:c r="J74" t="n">
        <x:v>72</x:v>
      </x:c>
      <x:c r="K74" t="str">
        <x:v>The Fifth Element</x:v>
      </x:c>
      <x:c r="L74" t="n">
        <x:v>35557</x:v>
      </x:c>
      <x:c r="M74" t="n">
        <x:v>127</x:v>
      </x:c>
      <x:c r="N74" t="str">
        <x:v>Science Fiction</x:v>
      </x:c>
      <x:c r="O74" t="str">
        <x:v>Luc Besson</x:v>
      </x:c>
      <x:c r="P74" t="str">
        <x:v>Gaumont</x:v>
      </x:c>
      <x:c r="Q74" t="str">
        <x:v>France</x:v>
      </x:c>
      <x:c r="R74" t="str">
        <x:v>English</x:v>
      </x:c>
      <x:c r="S74" t="str">
        <x:v>PG</x:v>
      </x:c>
      <x:c r="T74" t="n">
        <x:v>90000000</x:v>
      </x:c>
      <x:c r="U74" t="n">
        <x:v>263920180</x:v>
      </x:c>
      <x:c r="V74" t="n">
        <x:v>1</x:v>
      </x:c>
      <x:c r="W74" t="n">
        <x:v>0</x:v>
      </x:c>
    </x:row>
    <x:row r="75">
      <x:c r="J75" t="n">
        <x:v>73</x:v>
      </x:c>
      <x:c r="K75" t="str">
        <x:v>The Lord of the Rings: Return of the King</x:v>
      </x:c>
      <x:c r="L75" t="n">
        <x:v>37972</x:v>
      </x:c>
      <x:c r="M75" t="n">
        <x:v>201</x:v>
      </x:c>
      <x:c r="N75" t="str">
        <x:v>Fantasy</x:v>
      </x:c>
      <x:c r="O75" t="str">
        <x:v>Peter Jackson</x:v>
      </x:c>
      <x:c r="P75" t="str">
        <x:v>WingNut Films</x:v>
      </x:c>
      <x:c r="Q75" t="str">
        <x:v>New Zealand</x:v>
      </x:c>
      <x:c r="R75" t="str">
        <x:v>English</x:v>
      </x:c>
      <x:c r="S75" t="str">
        <x:v>12A</x:v>
      </x:c>
      <x:c r="T75" t="n">
        <x:v>94000000</x:v>
      </x:c>
      <x:c r="U75" t="n">
        <x:v>1119929521</x:v>
      </x:c>
      <x:c r="V75" t="n">
        <x:v>11</x:v>
      </x:c>
      <x:c r="W75" t="n">
        <x:v>11</x:v>
      </x:c>
    </x:row>
    <x:row r="76">
      <x:c r="J76" t="n">
        <x:v>74</x:v>
      </x:c>
      <x:c r="K76" t="str">
        <x:v>The Lord of the Rings: The Two Towers</x:v>
      </x:c>
      <x:c r="L76" t="n">
        <x:v>37608</x:v>
      </x:c>
      <x:c r="M76" t="n">
        <x:v>179</x:v>
      </x:c>
      <x:c r="N76" t="str">
        <x:v>Fantasy</x:v>
      </x:c>
      <x:c r="O76" t="str">
        <x:v>Peter Jackson</x:v>
      </x:c>
      <x:c r="P76" t="str">
        <x:v>WingNut Films</x:v>
      </x:c>
      <x:c r="Q76" t="str">
        <x:v>New Zealand</x:v>
      </x:c>
      <x:c r="R76" t="str">
        <x:v>English</x:v>
      </x:c>
      <x:c r="S76" t="str">
        <x:v>12A</x:v>
      </x:c>
      <x:c r="T76" t="n">
        <x:v>94000000</x:v>
      </x:c>
      <x:c r="U76" t="n">
        <x:v>926047111</x:v>
      </x:c>
      <x:c r="V76" t="n">
        <x:v>6</x:v>
      </x:c>
      <x:c r="W76" t="n">
        <x:v>2</x:v>
      </x:c>
    </x:row>
    <x:row r="77">
      <x:c r="J77" t="n">
        <x:v>75</x:v>
      </x:c>
      <x:c r="K77" t="str">
        <x:v>Rush Hour 3</x:v>
      </x:c>
      <x:c r="L77" t="n">
        <x:v>39304</x:v>
      </x:c>
      <x:c r="M77" t="n">
        <x:v>91</x:v>
      </x:c>
      <x:c r="N77" t="str">
        <x:v>Martial Arts</x:v>
      </x:c>
      <x:c r="O77" t="str">
        <x:v>Brett Ratner</x:v>
      </x:c>
      <x:c r="P77" t="str">
        <x:v>Roger Birnbaum Productions</x:v>
      </x:c>
      <x:c r="Q77" t="str">
        <x:v>United States</x:v>
      </x:c>
      <x:c r="R77" t="str">
        <x:v>English</x:v>
      </x:c>
      <x:c r="S77" t="str">
        <x:v>12A</x:v>
      </x:c>
      <x:c r="T77" t="n">
        <x:v>140000000</x:v>
      </x:c>
      <x:c r="U77" t="n">
        <x:v>258022233</x:v>
      </x:c>
      <x:c r="V77" t="n">
        <x:v>0</x:v>
      </x:c>
      <x:c r="W77" t="n">
        <x:v>0</x:v>
      </x:c>
    </x:row>
    <x:row r="78">
      <x:c r="J78" t="n">
        <x:v>76</x:v>
      </x:c>
      <x:c r="K78" t="str">
        <x:v>Rush Hour 2</x:v>
      </x:c>
      <x:c r="L78" t="n">
        <x:v>37106</x:v>
      </x:c>
      <x:c r="M78" t="n">
        <x:v>90</x:v>
      </x:c>
      <x:c r="N78" t="str">
        <x:v>Martial Arts</x:v>
      </x:c>
      <x:c r="O78" t="str">
        <x:v>Brett Ratner</x:v>
      </x:c>
      <x:c r="P78" t="str">
        <x:v>New Line Cinema</x:v>
      </x:c>
      <x:c r="Q78" t="str">
        <x:v>United States</x:v>
      </x:c>
      <x:c r="R78" t="str">
        <x:v>English</x:v>
      </x:c>
      <x:c r="S78" t="n">
        <x:v>12</x:v>
      </x:c>
      <x:c r="T78" t="n">
        <x:v>90000000</x:v>
      </x:c>
      <x:c r="U78" t="n">
        <x:v>347425832</x:v>
      </x:c>
      <x:c r="V78" t="n">
        <x:v>0</x:v>
      </x:c>
      <x:c r="W78" t="n">
        <x:v>0</x:v>
      </x:c>
    </x:row>
    <x:row r="79">
      <x:c r="J79" t="n">
        <x:v>77</x:v>
      </x:c>
      <x:c r="K79" t="str">
        <x:v>Men in Black</x:v>
      </x:c>
      <x:c r="L79" t="n">
        <x:v>35613</x:v>
      </x:c>
      <x:c r="M79" t="n">
        <x:v>98</x:v>
      </x:c>
      <x:c r="N79" t="str">
        <x:v>Science Fiction</x:v>
      </x:c>
      <x:c r="O79" t="str">
        <x:v>Barry Sonnenfeld</x:v>
      </x:c>
      <x:c r="P79" t="str">
        <x:v>Amblin Entertainment</x:v>
      </x:c>
      <x:c r="Q79" t="str">
        <x:v>United States</x:v>
      </x:c>
      <x:c r="R79" t="str">
        <x:v>English</x:v>
      </x:c>
      <x:c r="S79" t="str">
        <x:v>PG</x:v>
      </x:c>
      <x:c r="T79" t="n">
        <x:v>90000000</x:v>
      </x:c>
      <x:c r="U79" t="n">
        <x:v>589390539</x:v>
      </x:c>
      <x:c r="V79" t="n">
        <x:v>3</x:v>
      </x:c>
      <x:c r="W79" t="n">
        <x:v>1</x:v>
      </x:c>
    </x:row>
    <x:row r="80">
      <x:c r="J80" t="n">
        <x:v>78</x:v>
      </x:c>
      <x:c r="K80" t="str">
        <x:v>The Departed</x:v>
      </x:c>
      <x:c r="L80" t="n">
        <x:v>38996</x:v>
      </x:c>
      <x:c r="M80" t="n">
        <x:v>151</x:v>
      </x:c>
      <x:c r="N80" t="str">
        <x:v>Thriller</x:v>
      </x:c>
      <x:c r="O80" t="str">
        <x:v>Martin Scorsese</x:v>
      </x:c>
      <x:c r="P80" t="str">
        <x:v>Warner Bros. Pictures</x:v>
      </x:c>
      <x:c r="Q80" t="str">
        <x:v>United States</x:v>
      </x:c>
      <x:c r="R80" t="str">
        <x:v>English</x:v>
      </x:c>
      <x:c r="S80" t="n">
        <x:v>18</x:v>
      </x:c>
      <x:c r="T80" t="n">
        <x:v>90000000</x:v>
      </x:c>
      <x:c r="U80" t="n">
        <x:v>289847354</x:v>
      </x:c>
      <x:c r="V80" t="n">
        <x:v>5</x:v>
      </x:c>
      <x:c r="W80" t="n">
        <x:v>4</x:v>
      </x:c>
    </x:row>
    <x:row r="81">
      <x:c r="J81" t="n">
        <x:v>79</x:v>
      </x:c>
      <x:c r="K81" t="str">
        <x:v>Die Hard: With A Vengeance</x:v>
      </x:c>
      <x:c r="L81" t="n">
        <x:v>34929</x:v>
      </x:c>
      <x:c r="M81" t="n">
        <x:v>131</x:v>
      </x:c>
      <x:c r="N81" t="str">
        <x:v>Action</x:v>
      </x:c>
      <x:c r="O81" t="str">
        <x:v>John McTiernan</x:v>
      </x:c>
      <x:c r="P81" t="str">
        <x:v>Cinergi Pictures</x:v>
      </x:c>
      <x:c r="Q81" t="str">
        <x:v>United States</x:v>
      </x:c>
      <x:c r="R81" t="str">
        <x:v>English</x:v>
      </x:c>
      <x:c r="S81" t="n">
        <x:v>15</x:v>
      </x:c>
      <x:c r="T81" t="n">
        <x:v>90000000</x:v>
      </x:c>
      <x:c r="U81" t="n">
        <x:v>366101666</x:v>
      </x:c>
      <x:c r="V81" t="n">
        <x:v>0</x:v>
      </x:c>
      <x:c r="W81" t="n">
        <x:v>0</x:v>
      </x:c>
    </x:row>
    <x:row r="82">
      <x:c r="J82" t="n">
        <x:v>80</x:v>
      </x:c>
      <x:c r="K82" t="str">
        <x:v>Cinderella Man</x:v>
      </x:c>
      <x:c r="L82" t="n">
        <x:v>38604</x:v>
      </x:c>
      <x:c r="M82" t="n">
        <x:v>144</x:v>
      </x:c>
      <x:c r="N82" t="str">
        <x:v>Drama</x:v>
      </x:c>
      <x:c r="O82" t="str">
        <x:v>Ron Howard</x:v>
      </x:c>
      <x:c r="P82" t="str">
        <x:v>Imagine Entertainment</x:v>
      </x:c>
      <x:c r="Q82" t="str">
        <x:v>United States</x:v>
      </x:c>
      <x:c r="R82" t="str">
        <x:v>English</x:v>
      </x:c>
      <x:c r="S82" t="str">
        <x:v>12A</x:v>
      </x:c>
      <x:c r="T82" t="n">
        <x:v>88000000</x:v>
      </x:c>
      <x:c r="U82" t="n">
        <x:v>108539911</x:v>
      </x:c>
      <x:c r="V82" t="n">
        <x:v>3</x:v>
      </x:c>
      <x:c r="W82" t="n">
        <x:v>0</x:v>
      </x:c>
    </x:row>
    <x:row r="83">
      <x:c r="J83" t="n">
        <x:v>81</x:v>
      </x:c>
      <x:c r="K83" t="str">
        <x:v>The Bourne Supremacy</x:v>
      </x:c>
      <x:c r="L83" t="n">
        <x:v>38191</x:v>
      </x:c>
      <x:c r="M83" t="n">
        <x:v>108</x:v>
      </x:c>
      <x:c r="N83" t="str">
        <x:v>Thriller</x:v>
      </x:c>
      <x:c r="O83" t="str">
        <x:v>Paul Greengrass</x:v>
      </x:c>
      <x:c r="P83" t="str">
        <x:v>The Kennedy Marshall Company</x:v>
      </x:c>
      <x:c r="Q83" t="str">
        <x:v>United States</x:v>
      </x:c>
      <x:c r="R83" t="str">
        <x:v>English</x:v>
      </x:c>
      <x:c r="S83" t="str">
        <x:v>12A</x:v>
      </x:c>
      <x:c r="T83" t="n">
        <x:v>75000000</x:v>
      </x:c>
      <x:c r="U83" t="n">
        <x:v>288500000</x:v>
      </x:c>
      <x:c r="V83" t="n">
        <x:v>0</x:v>
      </x:c>
      <x:c r="W83" t="n">
        <x:v>0</x:v>
      </x:c>
    </x:row>
    <x:row r="84">
      <x:c r="J84" t="n">
        <x:v>82</x:v>
      </x:c>
      <x:c r="K84" t="str">
        <x:v>Last Action Hero</x:v>
      </x:c>
      <x:c r="L84" t="n">
        <x:v>34180</x:v>
      </x:c>
      <x:c r="M84" t="n">
        <x:v>130</x:v>
      </x:c>
      <x:c r="N84" t="str">
        <x:v>Action</x:v>
      </x:c>
      <x:c r="O84" t="str">
        <x:v>John McTiernan</x:v>
      </x:c>
      <x:c r="P84" t="str">
        <x:v>Columbia Pictures</x:v>
      </x:c>
      <x:c r="Q84" t="str">
        <x:v>United States</x:v>
      </x:c>
      <x:c r="R84" t="str">
        <x:v>English</x:v>
      </x:c>
      <x:c r="S84" t="n">
        <x:v>15</x:v>
      </x:c>
      <x:c r="T84" t="n">
        <x:v>85000000</x:v>
      </x:c>
      <x:c r="U84" t="n">
        <x:v>137298489</x:v>
      </x:c>
      <x:c r="V84" t="n">
        <x:v>0</x:v>
      </x:c>
      <x:c r="W84" t="n">
        <x:v>0</x:v>
      </x:c>
    </x:row>
    <x:row r="85">
      <x:c r="J85" t="n">
        <x:v>83</x:v>
      </x:c>
      <x:c r="K85" t="str">
        <x:v>Cast Away</x:v>
      </x:c>
      <x:c r="L85" t="n">
        <x:v>36903</x:v>
      </x:c>
      <x:c r="M85" t="n">
        <x:v>143</x:v>
      </x:c>
      <x:c r="N85" t="str">
        <x:v>Drama</x:v>
      </x:c>
      <x:c r="O85" t="str">
        <x:v>Robert Zemeckis</x:v>
      </x:c>
      <x:c r="P85" t="str">
        <x:v>ImageMovers</x:v>
      </x:c>
      <x:c r="Q85" t="str">
        <x:v>United States</x:v>
      </x:c>
      <x:c r="R85" t="str">
        <x:v>English</x:v>
      </x:c>
      <x:c r="S85" t="n">
        <x:v>12</x:v>
      </x:c>
      <x:c r="T85" t="n">
        <x:v>85000000</x:v>
      </x:c>
      <x:c r="U85" t="n">
        <x:v>427230516</x:v>
      </x:c>
      <x:c r="V85" t="n">
        <x:v>2</x:v>
      </x:c>
      <x:c r="W85" t="n">
        <x:v>0</x:v>
      </x:c>
    </x:row>
    <x:row r="86">
      <x:c r="J86" t="n">
        <x:v>84</x:v>
      </x:c>
      <x:c r="K86" t="str">
        <x:v>Ocean's Twelve</x:v>
      </x:c>
      <x:c r="L86" t="n">
        <x:v>38387</x:v>
      </x:c>
      <x:c r="M86" t="n">
        <x:v>125</x:v>
      </x:c>
      <x:c r="N86" t="str">
        <x:v>Crime</x:v>
      </x:c>
      <x:c r="O86" t="str">
        <x:v>Steven Soderbergh</x:v>
      </x:c>
      <x:c r="P86" t="str">
        <x:v>Jerry Weintraub Productions</x:v>
      </x:c>
      <x:c r="Q86" t="str">
        <x:v>United States</x:v>
      </x:c>
      <x:c r="R86" t="str">
        <x:v>English</x:v>
      </x:c>
      <x:c r="S86" t="str">
        <x:v>12A</x:v>
      </x:c>
      <x:c r="T86" t="n">
        <x:v>110000000</x:v>
      </x:c>
      <x:c r="U86" t="n">
        <x:v>362744280</x:v>
      </x:c>
      <x:c r="V86" t="n">
        <x:v>0</x:v>
      </x:c>
      <x:c r="W86" t="n">
        <x:v>0</x:v>
      </x:c>
    </x:row>
    <x:row r="87">
      <x:c r="J87" t="n">
        <x:v>85</x:v>
      </x:c>
      <x:c r="K87" t="str">
        <x:v>Click</x:v>
      </x:c>
      <x:c r="L87" t="n">
        <x:v>38989</x:v>
      </x:c>
      <x:c r="M87" t="n">
        <x:v>107</x:v>
      </x:c>
      <x:c r="N87" t="str">
        <x:v>Comedy</x:v>
      </x:c>
      <x:c r="O87" t="str">
        <x:v>Frank Coraci</x:v>
      </x:c>
      <x:c r="P87" t="str">
        <x:v>Revolution Studios</x:v>
      </x:c>
      <x:c r="Q87" t="str">
        <x:v>United States</x:v>
      </x:c>
      <x:c r="R87" t="str">
        <x:v>English</x:v>
      </x:c>
      <x:c r="S87" t="str">
        <x:v>12A</x:v>
      </x:c>
      <x:c r="T87" t="n">
        <x:v>82500000</x:v>
      </x:c>
      <x:c r="U87" t="n">
        <x:v>237681299</x:v>
      </x:c>
      <x:c r="V87" t="n">
        <x:v>1</x:v>
      </x:c>
      <x:c r="W87" t="n">
        <x:v>0</x:v>
      </x:c>
    </x:row>
    <x:row r="88">
      <x:c r="J88" t="n">
        <x:v>86</x:v>
      </x:c>
      <x:c r="K88" t="str">
        <x:v>Bruce Almighty</x:v>
      </x:c>
      <x:c r="L88" t="n">
        <x:v>37764</x:v>
      </x:c>
      <x:c r="M88" t="n">
        <x:v>101</x:v>
      </x:c>
      <x:c r="N88" t="str">
        <x:v>Comedy</x:v>
      </x:c>
      <x:c r="O88" t="str">
        <x:v>Tom Shadyac</x:v>
      </x:c>
      <x:c r="P88" t="str">
        <x:v>Spyglass Entertainment</x:v>
      </x:c>
      <x:c r="Q88" t="str">
        <x:v>United States</x:v>
      </x:c>
      <x:c r="R88" t="str">
        <x:v>English</x:v>
      </x:c>
      <x:c r="S88" t="str">
        <x:v>12A</x:v>
      </x:c>
      <x:c r="T88" t="n">
        <x:v>81000000</x:v>
      </x:c>
      <x:c r="U88" t="n">
        <x:v>484592874</x:v>
      </x:c>
      <x:c r="V88" t="n">
        <x:v>0</x:v>
      </x:c>
      <x:c r="W88" t="n">
        <x:v>0</x:v>
      </x:c>
    </x:row>
    <x:row r="89">
      <x:c r="J89" t="n">
        <x:v>87</x:v>
      </x:c>
      <x:c r="K89" t="str">
        <x:v>Mission: Impossible</x:v>
      </x:c>
      <x:c r="L89" t="n">
        <x:v>35207</x:v>
      </x:c>
      <x:c r="M89" t="n">
        <x:v>110</x:v>
      </x:c>
      <x:c r="N89" t="str">
        <x:v>Thriller</x:v>
      </x:c>
      <x:c r="O89" t="str">
        <x:v>Brian De Palma</x:v>
      </x:c>
      <x:c r="P89" t="str">
        <x:v>Cruise Wagner Productions</x:v>
      </x:c>
      <x:c r="Q89" t="str">
        <x:v>United States</x:v>
      </x:c>
      <x:c r="R89" t="str">
        <x:v>English</x:v>
      </x:c>
      <x:c r="S89" t="str">
        <x:v>PG</x:v>
      </x:c>
      <x:c r="T89" t="n">
        <x:v>80000000</x:v>
      </x:c>
      <x:c r="U89" t="n">
        <x:v>457696359</x:v>
      </x:c>
      <x:c r="V89" t="n">
        <x:v>0</x:v>
      </x:c>
      <x:c r="W89" t="n">
        <x:v>0</x:v>
      </x:c>
    </x:row>
    <x:row r="90">
      <x:c r="J90" t="n">
        <x:v>88</x:v>
      </x:c>
      <x:c r="K90" t="str">
        <x:v>Deep Impact</x:v>
      </x:c>
      <x:c r="L90" t="n">
        <x:v>35923</x:v>
      </x:c>
      <x:c r="M90" t="n">
        <x:v>121</x:v>
      </x:c>
      <x:c r="N90" t="str">
        <x:v>Science Fiction</x:v>
      </x:c>
      <x:c r="O90" t="str">
        <x:v>Mimi Leder</x:v>
      </x:c>
      <x:c r="P90" t="str">
        <x:v>Dreamworks</x:v>
      </x:c>
      <x:c r="Q90" t="str">
        <x:v>United States</x:v>
      </x:c>
      <x:c r="R90" t="str">
        <x:v>English</x:v>
      </x:c>
      <x:c r="S90" t="n">
        <x:v>12</x:v>
      </x:c>
      <x:c r="T90" t="n">
        <x:v>80000000</x:v>
      </x:c>
      <x:c r="U90" t="n">
        <x:v>349464664</x:v>
      </x:c>
      <x:c r="V90" t="n">
        <x:v>0</x:v>
      </x:c>
      <x:c r="W90" t="n">
        <x:v>0</x:v>
      </x:c>
    </x:row>
    <x:row r="91">
      <x:c r="J91" t="n">
        <x:v>89</x:v>
      </x:c>
      <x:c r="K91" t="str">
        <x:v>Road to Perdition</x:v>
      </x:c>
      <x:c r="L91" t="n">
        <x:v>37449</x:v>
      </x:c>
      <x:c r="M91" t="n">
        <x:v>117</x:v>
      </x:c>
      <x:c r="N91" t="str">
        <x:v>Crime</x:v>
      </x:c>
      <x:c r="O91" t="str">
        <x:v>Sam Mendes</x:v>
      </x:c>
      <x:c r="P91" t="str">
        <x:v>The Zanuck Company</x:v>
      </x:c>
      <x:c r="Q91" t="str">
        <x:v>United States</x:v>
      </x:c>
      <x:c r="R91" t="str">
        <x:v>English</x:v>
      </x:c>
      <x:c r="S91" t="n">
        <x:v>15</x:v>
      </x:c>
      <x:c r="T91" t="n">
        <x:v>80000000</x:v>
      </x:c>
      <x:c r="U91" t="n">
        <x:v>181000000</x:v>
      </x:c>
      <x:c r="V91" t="n">
        <x:v>6</x:v>
      </x:c>
      <x:c r="W91" t="n">
        <x:v>1</x:v>
      </x:c>
    </x:row>
    <x:row r="92">
      <x:c r="J92" t="n">
        <x:v>90</x:v>
      </x:c>
      <x:c r="K92" t="str">
        <x:v>A Beautiful Mind</x:v>
      </x:c>
      <x:c r="L92" t="n">
        <x:v>37246</x:v>
      </x:c>
      <x:c r="M92" t="n">
        <x:v>135</x:v>
      </x:c>
      <x:c r="N92" t="str">
        <x:v>Drama</x:v>
      </x:c>
      <x:c r="O92" t="str">
        <x:v>Ron Howard</x:v>
      </x:c>
      <x:c r="P92" t="str">
        <x:v>Imagine Entertainment</x:v>
      </x:c>
      <x:c r="Q92" t="str">
        <x:v>United States</x:v>
      </x:c>
      <x:c r="R92" t="str">
        <x:v>English</x:v>
      </x:c>
      <x:c r="S92" t="n">
        <x:v>12</x:v>
      </x:c>
      <x:c r="T92" t="n">
        <x:v>58000000</x:v>
      </x:c>
      <x:c r="U92" t="n">
        <x:v>313542341</x:v>
      </x:c>
      <x:c r="V92" t="n">
        <x:v>8</x:v>
      </x:c>
      <x:c r="W92" t="n">
        <x:v>4</x:v>
      </x:c>
    </x:row>
    <x:row r="93">
      <x:c r="J93" t="n">
        <x:v>91</x:v>
      </x:c>
      <x:c r="K93" t="str">
        <x:v>Children of Men</x:v>
      </x:c>
      <x:c r="L93" t="n">
        <x:v>38982</x:v>
      </x:c>
      <x:c r="M93" t="n">
        <x:v>109</x:v>
      </x:c>
      <x:c r="N93" t="str">
        <x:v>Science Fiction</x:v>
      </x:c>
      <x:c r="O93" t="str">
        <x:v>Alfonso Cuaron</x:v>
      </x:c>
      <x:c r="P93" t="str">
        <x:v>Strike Entertainment</x:v>
      </x:c>
      <x:c r="Q93" t="str">
        <x:v>United States</x:v>
      </x:c>
      <x:c r="R93" t="str">
        <x:v>English</x:v>
      </x:c>
      <x:c r="S93" t="n">
        <x:v>15</x:v>
      </x:c>
      <x:c r="T93" t="n">
        <x:v>76000000</x:v>
      </x:c>
      <x:c r="U93" t="n">
        <x:v>69900000</x:v>
      </x:c>
      <x:c r="V93" t="n">
        <x:v>3</x:v>
      </x:c>
      <x:c r="W93" t="n">
        <x:v>0</x:v>
      </x:c>
    </x:row>
    <x:row r="94">
      <x:c r="J94" t="n">
        <x:v>92</x:v>
      </x:c>
      <x:c r="K94" t="str">
        <x:v>Munich</x:v>
      </x:c>
      <x:c r="L94" t="n">
        <x:v>38709</x:v>
      </x:c>
      <x:c r="M94" t="n">
        <x:v>163</x:v>
      </x:c>
      <x:c r="N94" t="str">
        <x:v>Drama</x:v>
      </x:c>
      <x:c r="O94" t="str">
        <x:v>Steven Spielberg</x:v>
      </x:c>
      <x:c r="P94" t="str">
        <x:v>Amblin Entertainment</x:v>
      </x:c>
      <x:c r="Q94" t="str">
        <x:v>United States</x:v>
      </x:c>
      <x:c r="R94" t="str">
        <x:v>English</x:v>
      </x:c>
      <x:c r="S94" t="n">
        <x:v>15</x:v>
      </x:c>
      <x:c r="T94" t="n">
        <x:v>77000000</x:v>
      </x:c>
      <x:c r="U94" t="n">
        <x:v>130358911</x:v>
      </x:c>
      <x:c r="V94" t="n">
        <x:v>5</x:v>
      </x:c>
      <x:c r="W94" t="n">
        <x:v>0</x:v>
      </x:c>
    </x:row>
    <x:row r="95">
      <x:c r="J95" t="n">
        <x:v>93</x:v>
      </x:c>
      <x:c r="K95" t="str">
        <x:v>Independence Day</x:v>
      </x:c>
      <x:c r="L95" t="n">
        <x:v>35248</x:v>
      </x:c>
      <x:c r="M95" t="n">
        <x:v>145</x:v>
      </x:c>
      <x:c r="N95" t="str">
        <x:v>Science Fiction</x:v>
      </x:c>
      <x:c r="O95" t="str">
        <x:v>Roland Emmerich</x:v>
      </x:c>
      <x:c r="P95" t="str">
        <x:v>Centropolis Entertainment</x:v>
      </x:c>
      <x:c r="Q95" t="str">
        <x:v>United States</x:v>
      </x:c>
      <x:c r="R95" t="str">
        <x:v>English</x:v>
      </x:c>
      <x:c r="S95" t="n">
        <x:v>12</x:v>
      </x:c>
      <x:c r="T95" t="n">
        <x:v>75000000</x:v>
      </x:c>
      <x:c r="U95" t="n">
        <x:v>817400891</x:v>
      </x:c>
      <x:c r="V95" t="n">
        <x:v>2</x:v>
      </x:c>
      <x:c r="W95" t="n">
        <x:v>1</x:v>
      </x:c>
    </x:row>
    <x:row r="96">
      <x:c r="J96" t="n">
        <x:v>94</x:v>
      </x:c>
      <x:c r="K96" t="str">
        <x:v>X-Men</x:v>
      </x:c>
      <x:c r="L96" t="n">
        <x:v>36756</x:v>
      </x:c>
      <x:c r="M96" t="n">
        <x:v>104</x:v>
      </x:c>
      <x:c r="N96" t="str">
        <x:v>Action</x:v>
      </x:c>
      <x:c r="O96" t="str">
        <x:v>Bryan Singer</x:v>
      </x:c>
      <x:c r="P96" t="str">
        <x:v>20th Century Fox</x:v>
      </x:c>
      <x:c r="Q96" t="str">
        <x:v>United States</x:v>
      </x:c>
      <x:c r="R96" t="str">
        <x:v>English</x:v>
      </x:c>
      <x:c r="S96" t="n">
        <x:v>12</x:v>
      </x:c>
      <x:c r="T96" t="n">
        <x:v>75000000</x:v>
      </x:c>
      <x:c r="U96" t="n">
        <x:v>296339527</x:v>
      </x:c>
      <x:c r="V96" t="n">
        <x:v>0</x:v>
      </x:c>
      <x:c r="W96" t="n">
        <x:v>0</x:v>
      </x:c>
    </x:row>
    <x:row r="97">
      <x:c r="J97" t="n">
        <x:v>95</x:v>
      </x:c>
      <x:c r="K97" t="str">
        <x:v>X2</x:v>
      </x:c>
      <x:c r="L97" t="n">
        <x:v>37743</x:v>
      </x:c>
      <x:c r="M97" t="n">
        <x:v>134</x:v>
      </x:c>
      <x:c r="N97" t="str">
        <x:v>Action</x:v>
      </x:c>
      <x:c r="O97" t="str">
        <x:v>Bryan Singer</x:v>
      </x:c>
      <x:c r="P97" t="str">
        <x:v>20th Century Fox</x:v>
      </x:c>
      <x:c r="Q97" t="str">
        <x:v>United States</x:v>
      </x:c>
      <x:c r="R97" t="str">
        <x:v>English</x:v>
      </x:c>
      <x:c r="S97" t="str">
        <x:v>12A</x:v>
      </x:c>
      <x:c r="T97" t="n">
        <x:v>110000000</x:v>
      </x:c>
      <x:c r="U97" t="n">
        <x:v>407711549</x:v>
      </x:c>
      <x:c r="V97" t="n">
        <x:v>0</x:v>
      </x:c>
      <x:c r="W97" t="n">
        <x:v>0</x:v>
      </x:c>
    </x:row>
    <x:row r="98">
      <x:c r="J98" t="n">
        <x:v>96</x:v>
      </x:c>
      <x:c r="K98" t="str">
        <x:v>The Rock</x:v>
      </x:c>
      <x:c r="L98" t="n">
        <x:v>35223</x:v>
      </x:c>
      <x:c r="M98" t="n">
        <x:v>136</x:v>
      </x:c>
      <x:c r="N98" t="str">
        <x:v>Thriller</x:v>
      </x:c>
      <x:c r="O98" t="str">
        <x:v>Michael Bay</x:v>
      </x:c>
      <x:c r="P98" t="str">
        <x:v>Hollywood Pictures</x:v>
      </x:c>
      <x:c r="Q98" t="str">
        <x:v>United States</x:v>
      </x:c>
      <x:c r="R98" t="str">
        <x:v>English</x:v>
      </x:c>
      <x:c r="S98" t="n">
        <x:v>15</x:v>
      </x:c>
      <x:c r="T98" t="n">
        <x:v>75000000</x:v>
      </x:c>
      <x:c r="U98" t="n">
        <x:v>335100000</x:v>
      </x:c>
      <x:c r="V98" t="n">
        <x:v>1</x:v>
      </x:c>
      <x:c r="W98" t="n">
        <x:v>0</x:v>
      </x:c>
    </x:row>
    <x:row r="99">
      <x:c r="J99" t="n">
        <x:v>97</x:v>
      </x:c>
      <x:c r="K99" t="str">
        <x:v>Constantine</x:v>
      </x:c>
      <x:c r="L99" t="n">
        <x:v>38401</x:v>
      </x:c>
      <x:c r="M99" t="n">
        <x:v>121</x:v>
      </x:c>
      <x:c r="N99" t="str">
        <x:v>Thriller</x:v>
      </x:c>
      <x:c r="O99" t="str">
        <x:v>Francis Lawrence</x:v>
      </x:c>
      <x:c r="P99" t="str">
        <x:v>Village Roadshow Pictures</x:v>
      </x:c>
      <x:c r="Q99" t="str">
        <x:v>United States</x:v>
      </x:c>
      <x:c r="R99" t="str">
        <x:v>English</x:v>
      </x:c>
      <x:c r="S99" t="n">
        <x:v>15</x:v>
      </x:c>
      <x:c r="T99" t="n">
        <x:v>100000000</x:v>
      </x:c>
      <x:c r="U99" t="n">
        <x:v>230884728</x:v>
      </x:c>
      <x:c r="V99" t="n">
        <x:v>0</x:v>
      </x:c>
      <x:c r="W99" t="n">
        <x:v>0</x:v>
      </x:c>
    </x:row>
    <x:row r="100">
      <x:c r="J100" t="n">
        <x:v>98</x:v>
      </x:c>
      <x:c r="K100" t="str">
        <x:v>Unbreakable</x:v>
      </x:c>
      <x:c r="L100" t="n">
        <x:v>36889</x:v>
      </x:c>
      <x:c r="M100" t="n">
        <x:v>106</x:v>
      </x:c>
      <x:c r="N100" t="str">
        <x:v>Drama</x:v>
      </x:c>
      <x:c r="O100" t="str">
        <x:v>M. Night Shyamalan</x:v>
      </x:c>
      <x:c r="P100" t="str">
        <x:v>Touchstone Pictures</x:v>
      </x:c>
      <x:c r="Q100" t="str">
        <x:v>United States</x:v>
      </x:c>
      <x:c r="R100" t="str">
        <x:v>English</x:v>
      </x:c>
      <x:c r="S100" t="n">
        <x:v>12</x:v>
      </x:c>
      <x:c r="T100" t="n">
        <x:v>75000000</x:v>
      </x:c>
      <x:c r="U100" t="n">
        <x:v>248118121</x:v>
      </x:c>
      <x:c r="V100" t="n">
        <x:v>0</x:v>
      </x:c>
      <x:c r="W100" t="n">
        <x:v>0</x:v>
      </x:c>
    </x:row>
    <x:row r="101">
      <x:c r="J101" t="n">
        <x:v>99</x:v>
      </x:c>
      <x:c r="K101" t="str">
        <x:v>Talladega Nights: The Ballad of Ricky Bobby</x:v>
      </x:c>
      <x:c r="L101" t="n">
        <x:v>38975</x:v>
      </x:c>
      <x:c r="M101" t="n">
        <x:v>108</x:v>
      </x:c>
      <x:c r="N101" t="str">
        <x:v>Comedy</x:v>
      </x:c>
      <x:c r="O101" t="str">
        <x:v>Adam McKay</x:v>
      </x:c>
      <x:c r="P101" t="str">
        <x:v>Apatow Productions</x:v>
      </x:c>
      <x:c r="Q101" t="str">
        <x:v>United States</x:v>
      </x:c>
      <x:c r="R101" t="str">
        <x:v>English</x:v>
      </x:c>
      <x:c r="S101" t="str">
        <x:v>12A</x:v>
      </x:c>
      <x:c r="T101" t="n">
        <x:v>72500000</x:v>
      </x:c>
      <x:c r="U101" t="n">
        <x:v>162966177</x:v>
      </x:c>
      <x:c r="V101" t="n">
        <x:v>0</x:v>
      </x:c>
      <x:c r="W101" t="n">
        <x:v>0</x:v>
      </x:c>
    </x:row>
    <x:row r="102">
      <x:c r="J102" t="n">
        <x:v>100</x:v>
      </x:c>
      <x:c r="K102" t="str">
        <x:v>The Simpsons Movie</x:v>
      </x:c>
      <x:c r="L102" t="n">
        <x:v>39288</x:v>
      </x:c>
      <x:c r="M102" t="n">
        <x:v>87</x:v>
      </x:c>
      <x:c r="N102" t="str">
        <x:v>Animation</x:v>
      </x:c>
      <x:c r="O102" t="str">
        <x:v>David Silverman</x:v>
      </x:c>
      <x:c r="P102" t="str">
        <x:v>Gracie Films</x:v>
      </x:c>
      <x:c r="Q102" t="str">
        <x:v>United States</x:v>
      </x:c>
      <x:c r="R102" t="str">
        <x:v>English</x:v>
      </x:c>
      <x:c r="S102" t="str">
        <x:v>PG</x:v>
      </x:c>
      <x:c r="T102" t="n">
        <x:v>72000000</x:v>
      </x:c>
      <x:c r="U102" t="n">
        <x:v>527000000</x:v>
      </x:c>
      <x:c r="V102" t="n">
        <x:v>0</x:v>
      </x:c>
      <x:c r="W102" t="n">
        <x:v>0</x:v>
      </x:c>
    </x:row>
    <x:row r="103">
      <x:c r="J103" t="n">
        <x:v>101</x:v>
      </x:c>
      <x:c r="K103" t="str">
        <x:v>Braveheart</x:v>
      </x:c>
      <x:c r="L103" t="n">
        <x:v>34843</x:v>
      </x:c>
      <x:c r="M103" t="n">
        <x:v>177</x:v>
      </x:c>
      <x:c r="N103" t="str">
        <x:v>History</x:v>
      </x:c>
      <x:c r="O103" t="str">
        <x:v>Mel Gibson</x:v>
      </x:c>
      <x:c r="P103" t="str">
        <x:v>Icon Productions</x:v>
      </x:c>
      <x:c r="Q103" t="str">
        <x:v>United States</x:v>
      </x:c>
      <x:c r="R103" t="str">
        <x:v>English</x:v>
      </x:c>
      <x:c r="S103" t="n">
        <x:v>15</x:v>
      </x:c>
      <x:c r="T103" t="n">
        <x:v>72000000</x:v>
      </x:c>
      <x:c r="U103" t="n">
        <x:v>210409945</x:v>
      </x:c>
      <x:c r="V103" t="n">
        <x:v>10</x:v>
      </x:c>
      <x:c r="W103" t="n">
        <x:v>5</x:v>
      </x:c>
    </x:row>
    <x:row r="104">
      <x:c r="J104" t="n">
        <x:v>102</x:v>
      </x:c>
      <x:c r="K104" t="str">
        <x:v>Jarhead</x:v>
      </x:c>
      <x:c r="L104" t="n">
        <x:v>38730</x:v>
      </x:c>
      <x:c r="M104" t="n">
        <x:v>125</x:v>
      </x:c>
      <x:c r="N104" t="str">
        <x:v>War</x:v>
      </x:c>
      <x:c r="O104" t="str">
        <x:v>Sam Mendes</x:v>
      </x:c>
      <x:c r="P104" t="str">
        <x:v>Universal Pictures</x:v>
      </x:c>
      <x:c r="Q104" t="str">
        <x:v>United States</x:v>
      </x:c>
      <x:c r="R104" t="str">
        <x:v>English</x:v>
      </x:c>
      <x:c r="S104" t="n">
        <x:v>15</x:v>
      </x:c>
      <x:c r="T104" t="n">
        <x:v>72000000</x:v>
      </x:c>
      <x:c r="U104" t="n">
        <x:v>96889998</x:v>
      </x:c>
      <x:c r="V104" t="n">
        <x:v>0</x:v>
      </x:c>
      <x:c r="W104" t="n">
        <x:v>0</x:v>
      </x:c>
    </x:row>
    <x:row r="105">
      <x:c r="J105" t="n">
        <x:v>103</x:v>
      </x:c>
      <x:c r="K105" t="str">
        <x:v>The Village</x:v>
      </x:c>
      <x:c r="L105" t="n">
        <x:v>38219</x:v>
      </x:c>
      <x:c r="M105" t="n">
        <x:v>108</x:v>
      </x:c>
      <x:c r="N105" t="str">
        <x:v>Thriller</x:v>
      </x:c>
      <x:c r="O105" t="str">
        <x:v>M. Night Shyamalan</x:v>
      </x:c>
      <x:c r="P105" t="str">
        <x:v>Touchstone Pictures</x:v>
      </x:c>
      <x:c r="Q105" t="str">
        <x:v>United States</x:v>
      </x:c>
      <x:c r="R105" t="str">
        <x:v>English</x:v>
      </x:c>
      <x:c r="S105" t="str">
        <x:v>12A</x:v>
      </x:c>
      <x:c r="T105" t="n">
        <x:v>60000000</x:v>
      </x:c>
      <x:c r="U105" t="n">
        <x:v>256697520</x:v>
      </x:c>
      <x:c r="V105" t="n">
        <x:v>1</x:v>
      </x:c>
      <x:c r="W105" t="n">
        <x:v>0</x:v>
      </x:c>
    </x:row>
    <x:row r="106">
      <x:c r="J106" t="n">
        <x:v>104</x:v>
      </x:c>
      <x:c r="K106" t="str">
        <x:v>Shrek the Third</x:v>
      </x:c>
      <x:c r="L106" t="n">
        <x:v>39220</x:v>
      </x:c>
      <x:c r="M106" t="n">
        <x:v>93</x:v>
      </x:c>
      <x:c r="N106" t="str">
        <x:v>Animation</x:v>
      </x:c>
      <x:c r="O106" t="str">
        <x:v>Chris Miller</x:v>
      </x:c>
      <x:c r="P106" t="str">
        <x:v>Dreamworks</x:v>
      </x:c>
      <x:c r="Q106" t="str">
        <x:v>United States</x:v>
      </x:c>
      <x:c r="R106" t="str">
        <x:v>English</x:v>
      </x:c>
      <x:c r="S106" t="str">
        <x:v>U</x:v>
      </x:c>
      <x:c r="T106" t="n">
        <x:v>160000000</x:v>
      </x:c>
      <x:c r="U106" t="n">
        <x:v>799000000</x:v>
      </x:c>
      <x:c r="V106" t="n">
        <x:v>0</x:v>
      </x:c>
      <x:c r="W106" t="n">
        <x:v>0</x:v>
      </x:c>
    </x:row>
    <x:row r="107">
      <x:c r="J107" t="n">
        <x:v>105</x:v>
      </x:c>
      <x:c r="K107" t="str">
        <x:v>Shrek 2</x:v>
      </x:c>
      <x:c r="L107" t="n">
        <x:v>38126</x:v>
      </x:c>
      <x:c r="M107" t="n">
        <x:v>93</x:v>
      </x:c>
      <x:c r="N107" t="str">
        <x:v>Animation</x:v>
      </x:c>
      <x:c r="O107" t="str">
        <x:v>Andrew Adamson</x:v>
      </x:c>
      <x:c r="P107" t="str">
        <x:v>Dreamworks</x:v>
      </x:c>
      <x:c r="Q107" t="str">
        <x:v>United States</x:v>
      </x:c>
      <x:c r="R107" t="str">
        <x:v>English</x:v>
      </x:c>
      <x:c r="S107" t="str">
        <x:v>U</x:v>
      </x:c>
      <x:c r="T107" t="n">
        <x:v>150000000</x:v>
      </x:c>
      <x:c r="U107" t="n">
        <x:v>919838758</x:v>
      </x:c>
      <x:c r="V107" t="n">
        <x:v>2</x:v>
      </x:c>
      <x:c r="W107" t="n">
        <x:v>0</x:v>
      </x:c>
    </x:row>
    <x:row r="108">
      <x:c r="J108" t="n">
        <x:v>106</x:v>
      </x:c>
      <x:c r="K108" t="str">
        <x:v>The Abyss</x:v>
      </x:c>
      <x:c r="L108" t="n">
        <x:v>32729</x:v>
      </x:c>
      <x:c r="M108" t="n">
        <x:v>140</x:v>
      </x:c>
      <x:c r="N108" t="str">
        <x:v>Science Fiction</x:v>
      </x:c>
      <x:c r="O108" t="str">
        <x:v>James Cameron</x:v>
      </x:c>
      <x:c r="P108" t="str">
        <x:v>Lightstorm Entertainment</x:v>
      </x:c>
      <x:c r="Q108" t="str">
        <x:v>United States</x:v>
      </x:c>
      <x:c r="R108" t="str">
        <x:v>English</x:v>
      </x:c>
      <x:c r="S108" t="n">
        <x:v>15</x:v>
      </x:c>
      <x:c r="T108" t="n">
        <x:v>70000000</x:v>
      </x:c>
      <x:c r="U108" t="n">
        <x:v>90000098</x:v>
      </x:c>
      <x:c r="V108" t="n">
        <x:v>4</x:v>
      </x:c>
      <x:c r="W108" t="n">
        <x:v>1</x:v>
      </x:c>
    </x:row>
    <x:row r="109">
      <x:c r="J109" t="n">
        <x:v>107</x:v>
      </x:c>
      <x:c r="K109" t="str">
        <x:v>Star Trek: Insurrection</x:v>
      </x:c>
      <x:c r="L109" t="n">
        <x:v>36140</x:v>
      </x:c>
      <x:c r="M109" t="n">
        <x:v>103</x:v>
      </x:c>
      <x:c r="N109" t="str">
        <x:v>Science Fiction</x:v>
      </x:c>
      <x:c r="O109" t="str">
        <x:v>Jonathan Frakes</x:v>
      </x:c>
      <x:c r="P109" t="str">
        <x:v>Paramount Pictures</x:v>
      </x:c>
      <x:c r="Q109" t="str">
        <x:v>United States</x:v>
      </x:c>
      <x:c r="R109" t="str">
        <x:v>English</x:v>
      </x:c>
      <x:c r="S109" t="str">
        <x:v>PG</x:v>
      </x:c>
      <x:c r="T109" t="n">
        <x:v>58000000</x:v>
      </x:c>
      <x:c r="U109" t="n">
        <x:v>112587658</x:v>
      </x:c>
      <x:c r="V109" t="n">
        <x:v>0</x:v>
      </x:c>
      <x:c r="W109" t="n">
        <x:v>0</x:v>
      </x:c>
    </x:row>
    <x:row r="110">
      <x:c r="J110" t="n">
        <x:v>108</x:v>
      </x:c>
      <x:c r="K110" t="str">
        <x:v>Who Framed Roger Rabbit?</x:v>
      </x:c>
      <x:c r="L110" t="n">
        <x:v>32316</x:v>
      </x:c>
      <x:c r="M110" t="n">
        <x:v>103</x:v>
      </x:c>
      <x:c r="N110" t="str">
        <x:v>Comedy</x:v>
      </x:c>
      <x:c r="O110" t="str">
        <x:v>Robert Zemeckis</x:v>
      </x:c>
      <x:c r="P110" t="str">
        <x:v>Touchstone Pictures</x:v>
      </x:c>
      <x:c r="Q110" t="str">
        <x:v>United States</x:v>
      </x:c>
      <x:c r="R110" t="str">
        <x:v>English</x:v>
      </x:c>
      <x:c r="S110" t="str">
        <x:v>PG</x:v>
      </x:c>
      <x:c r="T110" t="n">
        <x:v>70000000</x:v>
      </x:c>
      <x:c r="U110" t="n">
        <x:v>329800000</x:v>
      </x:c>
      <x:c r="V110" t="n">
        <x:v>6</x:v>
      </x:c>
      <x:c r="W110" t="n">
        <x:v>4</x:v>
      </x:c>
    </x:row>
    <x:row r="111">
      <x:c r="J111" t="n">
        <x:v>109</x:v>
      </x:c>
      <x:c r="K111" t="str">
        <x:v>Sleepy Hollow</x:v>
      </x:c>
      <x:c r="L111" t="n">
        <x:v>36483</x:v>
      </x:c>
      <x:c r="M111" t="n">
        <x:v>105</x:v>
      </x:c>
      <x:c r="N111" t="str">
        <x:v>Horror</x:v>
      </x:c>
      <x:c r="O111" t="str">
        <x:v>Tim Burton</x:v>
      </x:c>
      <x:c r="P111" t="str">
        <x:v>Mandalay Pictures</x:v>
      </x:c>
      <x:c r="Q111" t="str">
        <x:v>United States</x:v>
      </x:c>
      <x:c r="R111" t="str">
        <x:v>English</x:v>
      </x:c>
      <x:c r="S111" t="n">
        <x:v>15</x:v>
      </x:c>
      <x:c r="T111" t="n">
        <x:v>100000000</x:v>
      </x:c>
      <x:c r="U111" t="n">
        <x:v>206071502</x:v>
      </x:c>
      <x:c r="V111" t="n">
        <x:v>3</x:v>
      </x:c>
      <x:c r="W111" t="n">
        <x:v>1</x:v>
      </x:c>
    </x:row>
    <x:row r="112">
      <x:c r="J112" t="n">
        <x:v>110</x:v>
      </x:c>
      <x:c r="K112" t="str">
        <x:v>xXx</x:v>
      </x:c>
      <x:c r="L112" t="n">
        <x:v>37477</x:v>
      </x:c>
      <x:c r="M112" t="n">
        <x:v>124</x:v>
      </x:c>
      <x:c r="N112" t="str">
        <x:v>Action</x:v>
      </x:c>
      <x:c r="O112" t="str">
        <x:v>Rob Cohen</x:v>
      </x:c>
      <x:c r="P112" t="str">
        <x:v>Revolution Studios</x:v>
      </x:c>
      <x:c r="Q112" t="str">
        <x:v>United States</x:v>
      </x:c>
      <x:c r="R112" t="str">
        <x:v>English</x:v>
      </x:c>
      <x:c r="S112" t="n">
        <x:v>15</x:v>
      </x:c>
      <x:c r="T112" t="n">
        <x:v>70000000</x:v>
      </x:c>
      <x:c r="U112" t="n">
        <x:v>277448382</x:v>
      </x:c>
      <x:c r="V112" t="n">
        <x:v>0</x:v>
      </x:c>
      <x:c r="W112" t="n">
        <x:v>0</x:v>
      </x:c>
    </x:row>
    <x:row r="113">
      <x:c r="J113" t="n">
        <x:v>111</x:v>
      </x:c>
      <x:c r="K113" t="str">
        <x:v>Die Hard 2</x:v>
      </x:c>
      <x:c r="L113" t="n">
        <x:v>33058</x:v>
      </x:c>
      <x:c r="M113" t="n">
        <x:v>124</x:v>
      </x:c>
      <x:c r="N113" t="str">
        <x:v>Action</x:v>
      </x:c>
      <x:c r="O113" t="str">
        <x:v>Renny Harlin</x:v>
      </x:c>
      <x:c r="P113" t="str">
        <x:v>Silver Pictures</x:v>
      </x:c>
      <x:c r="Q113" t="str">
        <x:v>United States</x:v>
      </x:c>
      <x:c r="R113" t="str">
        <x:v>English</x:v>
      </x:c>
      <x:c r="S113" t="n">
        <x:v>15</x:v>
      </x:c>
      <x:c r="T113" t="n">
        <x:v>70000000</x:v>
      </x:c>
      <x:c r="U113" t="n">
        <x:v>240031094</x:v>
      </x:c>
      <x:c r="V113" t="n">
        <x:v>0</x:v>
      </x:c>
      <x:c r="W113" t="n">
        <x:v>0</x:v>
      </x:c>
    </x:row>
    <x:row r="114">
      <x:c r="J114" t="n">
        <x:v>112</x:v>
      </x:c>
      <x:c r="K114" t="str">
        <x:v>The Long Kiss Goodnight</x:v>
      </x:c>
      <x:c r="L114" t="n">
        <x:v>35398</x:v>
      </x:c>
      <x:c r="M114" t="n">
        <x:v>120</x:v>
      </x:c>
      <x:c r="N114" t="str">
        <x:v>Action</x:v>
      </x:c>
      <x:c r="O114" t="str">
        <x:v>Renny Harlin</x:v>
      </x:c>
      <x:c r="P114" t="str">
        <x:v>New Line Cinema</x:v>
      </x:c>
      <x:c r="Q114" t="str">
        <x:v>United States</x:v>
      </x:c>
      <x:c r="R114" t="str">
        <x:v>English</x:v>
      </x:c>
      <x:c r="S114" t="n">
        <x:v>18</x:v>
      </x:c>
      <x:c r="T114" t="n">
        <x:v>65000000</x:v>
      </x:c>
      <x:c r="U114" t="n">
        <x:v>89456761</x:v>
      </x:c>
      <x:c r="V114" t="n">
        <x:v>0</x:v>
      </x:c>
      <x:c r="W114" t="n">
        <x:v>0</x:v>
      </x:c>
    </x:row>
    <x:row r="115">
      <x:c r="J115" t="n">
        <x:v>113</x:v>
      </x:c>
      <x:c r="K115" t="str">
        <x:v>Apollo 13</x:v>
      </x:c>
      <x:c r="L115" t="n">
        <x:v>34880</x:v>
      </x:c>
      <x:c r="M115" t="n">
        <x:v>140</x:v>
      </x:c>
      <x:c r="N115" t="str">
        <x:v>History</x:v>
      </x:c>
      <x:c r="O115" t="str">
        <x:v>Ron Howard</x:v>
      </x:c>
      <x:c r="P115" t="str">
        <x:v>Imagine Entertainment</x:v>
      </x:c>
      <x:c r="Q115" t="str">
        <x:v>United States</x:v>
      </x:c>
      <x:c r="R115" t="str">
        <x:v>English</x:v>
      </x:c>
      <x:c r="S115" t="str">
        <x:v>PG</x:v>
      </x:c>
      <x:c r="T115" t="n">
        <x:v>52000000</x:v>
      </x:c>
      <x:c r="U115" t="n">
        <x:v>355237933</x:v>
      </x:c>
      <x:c r="V115" t="n">
        <x:v>9</x:v>
      </x:c>
      <x:c r="W115" t="n">
        <x:v>2</x:v>
      </x:c>
    </x:row>
    <x:row r="116">
      <x:c r="J116" t="n">
        <x:v>114</x:v>
      </x:c>
      <x:c r="K116" t="str">
        <x:v>Saving Private Ryan</x:v>
      </x:c>
      <x:c r="L116" t="n">
        <x:v>36000</x:v>
      </x:c>
      <x:c r="M116" t="n">
        <x:v>170</x:v>
      </x:c>
      <x:c r="N116" t="str">
        <x:v>War</x:v>
      </x:c>
      <x:c r="O116" t="str">
        <x:v>Steven Spielberg</x:v>
      </x:c>
      <x:c r="P116" t="str">
        <x:v>Amblin Entertainment</x:v>
      </x:c>
      <x:c r="Q116" t="str">
        <x:v>United States</x:v>
      </x:c>
      <x:c r="R116" t="str">
        <x:v>English</x:v>
      </x:c>
      <x:c r="S116" t="n">
        <x:v>15</x:v>
      </x:c>
      <x:c r="T116" t="n">
        <x:v>70000000</x:v>
      </x:c>
      <x:c r="U116" t="n">
        <x:v>481840909</x:v>
      </x:c>
      <x:c r="V116" t="n">
        <x:v>11</x:v>
      </x:c>
      <x:c r="W116" t="n">
        <x:v>5</x:v>
      </x:c>
    </x:row>
    <x:row r="117">
      <x:c r="J117" t="n">
        <x:v>115</x:v>
      </x:c>
      <x:c r="K117" t="str">
        <x:v>Fight Club</x:v>
      </x:c>
      <x:c r="L117" t="n">
        <x:v>36448</x:v>
      </x:c>
      <x:c r="M117" t="n">
        <x:v>139</x:v>
      </x:c>
      <x:c r="N117" t="str">
        <x:v>Thriller</x:v>
      </x:c>
      <x:c r="O117" t="str">
        <x:v>David Fincher</x:v>
      </x:c>
      <x:c r="P117" t="str">
        <x:v>Fox 2000 Pictures</x:v>
      </x:c>
      <x:c r="Q117" t="str">
        <x:v>United States</x:v>
      </x:c>
      <x:c r="R117" t="str">
        <x:v>English</x:v>
      </x:c>
      <x:c r="S117" t="n">
        <x:v>18</x:v>
      </x:c>
      <x:c r="T117" t="n">
        <x:v>63000000</x:v>
      </x:c>
      <x:c r="U117" t="n">
        <x:v>100900000</x:v>
      </x:c>
      <x:c r="V117" t="n">
        <x:v>1</x:v>
      </x:c>
      <x:c r="W117" t="n">
        <x:v>0</x:v>
      </x:c>
    </x:row>
    <x:row r="118">
      <x:c r="J118" t="n">
        <x:v>116</x:v>
      </x:c>
      <x:c r="K118" t="str">
        <x:v>The Matrix</x:v>
      </x:c>
      <x:c r="L118" t="n">
        <x:v>36322</x:v>
      </x:c>
      <x:c r="M118" t="n">
        <x:v>136</x:v>
      </x:c>
      <x:c r="N118" t="str">
        <x:v>Science Fiction</x:v>
      </x:c>
      <x:c r="O118" t="str">
        <x:v>Lilly (Andy) Wachowski</x:v>
      </x:c>
      <x:c r="P118" t="str">
        <x:v>Village Roadshow Pictures</x:v>
      </x:c>
      <x:c r="Q118" t="str">
        <x:v>United States</x:v>
      </x:c>
      <x:c r="R118" t="str">
        <x:v>English</x:v>
      </x:c>
      <x:c r="S118" t="n">
        <x:v>15</x:v>
      </x:c>
      <x:c r="T118" t="n">
        <x:v>65000000</x:v>
      </x:c>
      <x:c r="U118" t="n">
        <x:v>463500000</x:v>
      </x:c>
      <x:c r="V118" t="n">
        <x:v>4</x:v>
      </x:c>
      <x:c r="W118" t="n">
        <x:v>4</x:v>
      </x:c>
    </x:row>
    <x:row r="119">
      <x:c r="J119" t="n">
        <x:v>117</x:v>
      </x:c>
      <x:c r="K119" t="str">
        <x:v>Total Recall</x:v>
      </x:c>
      <x:c r="L119" t="n">
        <x:v>33025</x:v>
      </x:c>
      <x:c r="M119" t="n">
        <x:v>113</x:v>
      </x:c>
      <x:c r="N119" t="str">
        <x:v>Science Fiction</x:v>
      </x:c>
      <x:c r="O119" t="str">
        <x:v>Paul Verhoeven</x:v>
      </x:c>
      <x:c r="P119" t="str">
        <x:v>Carolco Pictures</x:v>
      </x:c>
      <x:c r="Q119" t="str">
        <x:v>United States</x:v>
      </x:c>
      <x:c r="R119" t="str">
        <x:v>English</x:v>
      </x:c>
      <x:c r="S119" t="n">
        <x:v>18</x:v>
      </x:c>
      <x:c r="T119" t="n">
        <x:v>60000000</x:v>
      </x:c>
      <x:c r="U119" t="n">
        <x:v>261300000</x:v>
      </x:c>
      <x:c r="V119" t="n">
        <x:v>2</x:v>
      </x:c>
      <x:c r="W119" t="n">
        <x:v>1</x:v>
      </x:c>
    </x:row>
    <x:row r="120">
      <x:c r="J120" t="n">
        <x:v>118</x:v>
      </x:c>
      <x:c r="K120" t="str">
        <x:v>Cliffhanger</x:v>
      </x:c>
      <x:c r="L120" t="n">
        <x:v>34145</x:v>
      </x:c>
      <x:c r="M120" t="n">
        <x:v>113</x:v>
      </x:c>
      <x:c r="N120" t="str">
        <x:v>Action</x:v>
      </x:c>
      <x:c r="O120" t="str">
        <x:v>Renny Harlin</x:v>
      </x:c>
      <x:c r="P120" t="str">
        <x:v>Carolco Pictures</x:v>
      </x:c>
      <x:c r="Q120" t="str">
        <x:v>United States</x:v>
      </x:c>
      <x:c r="R120" t="str">
        <x:v>English</x:v>
      </x:c>
      <x:c r="S120" t="n">
        <x:v>15</x:v>
      </x:c>
      <x:c r="T120" t="n">
        <x:v>65000000</x:v>
      </x:c>
      <x:c r="U120" t="n">
        <x:v>255325036</x:v>
      </x:c>
      <x:c r="V120" t="n">
        <x:v>3</x:v>
      </x:c>
      <x:c r="W120" t="n">
        <x:v>0</x:v>
      </x:c>
    </x:row>
    <x:row r="121">
      <x:c r="J121" t="n">
        <x:v>119</x:v>
      </x:c>
      <x:c r="K121" t="str">
        <x:v>Clear and Present Danger</x:v>
      </x:c>
      <x:c r="L121" t="n">
        <x:v>34549</x:v>
      </x:c>
      <x:c r="M121" t="n">
        <x:v>141</x:v>
      </x:c>
      <x:c r="N121" t="str">
        <x:v>Thriller</x:v>
      </x:c>
      <x:c r="O121" t="str">
        <x:v>Phillip Noyce</x:v>
      </x:c>
      <x:c r="P121" t="str">
        <x:v>Paramount Pictures</x:v>
      </x:c>
      <x:c r="Q121" t="str">
        <x:v>United States</x:v>
      </x:c>
      <x:c r="R121" t="str">
        <x:v>English</x:v>
      </x:c>
      <x:c r="S121" t="n">
        <x:v>12</x:v>
      </x:c>
      <x:c r="T121" t="n">
        <x:v>62000000</x:v>
      </x:c>
      <x:c r="U121" t="n">
        <x:v>215887717</x:v>
      </x:c>
      <x:c r="V121" t="n">
        <x:v>2</x:v>
      </x:c>
      <x:c r="W121" t="n">
        <x:v>0</x:v>
      </x:c>
    </x:row>
    <x:row r="122">
      <x:c r="J122" t="n">
        <x:v>120</x:v>
      </x:c>
      <x:c r="K122" t="str">
        <x:v>GoldenEye</x:v>
      </x:c>
      <x:c r="L122" t="n">
        <x:v>35027</x:v>
      </x:c>
      <x:c r="M122" t="n">
        <x:v>130</x:v>
      </x:c>
      <x:c r="N122" t="str">
        <x:v>Thriller</x:v>
      </x:c>
      <x:c r="O122" t="str">
        <x:v>Martin Campbell</x:v>
      </x:c>
      <x:c r="P122" t="str">
        <x:v>Eon Productions</x:v>
      </x:c>
      <x:c r="Q122" t="str">
        <x:v>United Kingdom</x:v>
      </x:c>
      <x:c r="R122" t="str">
        <x:v>English</x:v>
      </x:c>
      <x:c r="S122" t="n">
        <x:v>12</x:v>
      </x:c>
      <x:c r="T122" t="n">
        <x:v>58000000</x:v>
      </x:c>
      <x:c r="U122" t="n">
        <x:v>352194034</x:v>
      </x:c>
      <x:c r="V122" t="n">
        <x:v>0</x:v>
      </x:c>
      <x:c r="W122" t="n">
        <x:v>0</x:v>
      </x:c>
    </x:row>
    <x:row r="123">
      <x:c r="J123" t="n">
        <x:v>121</x:v>
      </x:c>
      <x:c r="K123" t="str">
        <x:v>The Black Dahlia</x:v>
      </x:c>
      <x:c r="L123" t="n">
        <x:v>38975</x:v>
      </x:c>
      <x:c r="M123" t="n">
        <x:v>122</x:v>
      </x:c>
      <x:c r="N123" t="str">
        <x:v>Crime</x:v>
      </x:c>
      <x:c r="O123" t="str">
        <x:v>Brian De Palma</x:v>
      </x:c>
      <x:c r="P123" t="str">
        <x:v>Millennium Films</x:v>
      </x:c>
      <x:c r="Q123" t="str">
        <x:v>United States</x:v>
      </x:c>
      <x:c r="R123" t="str">
        <x:v>English</x:v>
      </x:c>
      <x:c r="S123" t="n">
        <x:v>15</x:v>
      </x:c>
      <x:c r="T123" t="n">
        <x:v>50000000</x:v>
      </x:c>
      <x:c r="U123" t="n">
        <x:v>49332692</x:v>
      </x:c>
      <x:c r="V123" t="n">
        <x:v>1</x:v>
      </x:c>
      <x:c r="W123" t="n">
        <x:v>0</x:v>
      </x:c>
    </x:row>
    <x:row r="124">
      <x:c r="J124" t="n">
        <x:v>122</x:v>
      </x:c>
      <x:c r="K124" t="str">
        <x:v>The Truman Show</x:v>
      </x:c>
      <x:c r="L124" t="n">
        <x:v>35951</x:v>
      </x:c>
      <x:c r="M124" t="n">
        <x:v>103</x:v>
      </x:c>
      <x:c r="N124" t="str">
        <x:v>Drama</x:v>
      </x:c>
      <x:c r="O124" t="str">
        <x:v>Peter Weir</x:v>
      </x:c>
      <x:c r="P124" t="str">
        <x:v>Scott Rudin Productions</x:v>
      </x:c>
      <x:c r="Q124" t="str">
        <x:v>United States</x:v>
      </x:c>
      <x:c r="R124" t="str">
        <x:v>English</x:v>
      </x:c>
      <x:c r="S124" t="str">
        <x:v>PG</x:v>
      </x:c>
      <x:c r="T124" t="n">
        <x:v>60000000</x:v>
      </x:c>
      <x:c r="U124" t="n">
        <x:v>264118201</x:v>
      </x:c>
      <x:c r="V124" t="n">
        <x:v>3</x:v>
      </x:c>
      <x:c r="W124" t="n">
        <x:v>0</x:v>
      </x:c>
    </x:row>
    <x:row r="125">
      <x:c r="J125" t="n">
        <x:v>123</x:v>
      </x:c>
      <x:c r="K125" t="str">
        <x:v>Event Horizon</x:v>
      </x:c>
      <x:c r="L125" t="n">
        <x:v>35657</x:v>
      </x:c>
      <x:c r="M125" t="n">
        <x:v>96</x:v>
      </x:c>
      <x:c r="N125" t="str">
        <x:v>Science Fiction</x:v>
      </x:c>
      <x:c r="O125" t="str">
        <x:v>Paul Anderson</x:v>
      </x:c>
      <x:c r="P125" t="str">
        <x:v>Paramount Pictures</x:v>
      </x:c>
      <x:c r="Q125" t="str">
        <x:v>United States</x:v>
      </x:c>
      <x:c r="R125" t="str">
        <x:v>English</x:v>
      </x:c>
      <x:c r="S125" t="n">
        <x:v>18</x:v>
      </x:c>
      <x:c r="T125" t="n">
        <x:v>60000000</x:v>
      </x:c>
      <x:c r="U125" t="n">
        <x:v>47073851</x:v>
      </x:c>
      <x:c r="V125" t="n">
        <x:v>0</x:v>
      </x:c>
      <x:c r="W125" t="n">
        <x:v>0</x:v>
      </x:c>
    </x:row>
    <x:row r="126">
      <x:c r="J126" t="n">
        <x:v>124</x:v>
      </x:c>
      <x:c r="K126" t="str">
        <x:v>The Bourne Identity</x:v>
      </x:c>
      <x:c r="L126" t="n">
        <x:v>37421</x:v>
      </x:c>
      <x:c r="M126" t="n">
        <x:v>118</x:v>
      </x:c>
      <x:c r="N126" t="str">
        <x:v>Thriller</x:v>
      </x:c>
      <x:c r="O126" t="str">
        <x:v>Doug Liman</x:v>
      </x:c>
      <x:c r="P126" t="str">
        <x:v>The Kennedy Marshall Company</x:v>
      </x:c>
      <x:c r="Q126" t="str">
        <x:v>United States</x:v>
      </x:c>
      <x:c r="R126" t="str">
        <x:v>English</x:v>
      </x:c>
      <x:c r="S126" t="str">
        <x:v>12A</x:v>
      </x:c>
      <x:c r="T126" t="n">
        <x:v>60000000</x:v>
      </x:c>
      <x:c r="U126" t="n">
        <x:v>214034224</x:v>
      </x:c>
      <x:c r="V126" t="n">
        <x:v>0</x:v>
      </x:c>
      <x:c r="W126" t="n">
        <x:v>0</x:v>
      </x:c>
    </x:row>
    <x:row r="127">
      <x:c r="J127" t="n">
        <x:v>125</x:v>
      </x:c>
      <x:c r="K127" t="str">
        <x:v>Hellboy</x:v>
      </x:c>
      <x:c r="L127" t="n">
        <x:v>38079</x:v>
      </x:c>
      <x:c r="M127" t="n">
        <x:v>122</x:v>
      </x:c>
      <x:c r="N127" t="str">
        <x:v>Action</x:v>
      </x:c>
      <x:c r="O127" t="str">
        <x:v>Guillermo del Toro</x:v>
      </x:c>
      <x:c r="P127" t="str">
        <x:v>Revolution Studios</x:v>
      </x:c>
      <x:c r="Q127" t="str">
        <x:v>United States</x:v>
      </x:c>
      <x:c r="R127" t="str">
        <x:v>English</x:v>
      </x:c>
      <x:c r="S127" t="str">
        <x:v>12A</x:v>
      </x:c>
      <x:c r="T127" t="n">
        <x:v>66000000</x:v>
      </x:c>
      <x:c r="U127" t="n">
        <x:v>99318987</x:v>
      </x:c>
      <x:c r="V127" t="n">
        <x:v>0</x:v>
      </x:c>
      <x:c r="W127" t="n">
        <x:v>0</x:v>
      </x:c>
    </x:row>
    <x:row r="128">
      <x:c r="J128" t="n">
        <x:v>126</x:v>
      </x:c>
      <x:c r="K128" t="str">
        <x:v>Starsky &amp; Hutch</x:v>
      </x:c>
      <x:c r="L128" t="n">
        <x:v>38065</x:v>
      </x:c>
      <x:c r="M128" t="n">
        <x:v>101</x:v>
      </x:c>
      <x:c r="N128" t="str">
        <x:v>Comedy</x:v>
      </x:c>
      <x:c r="O128" t="str">
        <x:v>Todd Phillips</x:v>
      </x:c>
      <x:c r="P128" t="str">
        <x:v>Weed Road Pictures</x:v>
      </x:c>
      <x:c r="Q128" t="str">
        <x:v>United States</x:v>
      </x:c>
      <x:c r="R128" t="str">
        <x:v>English</x:v>
      </x:c>
      <x:c r="S128" t="n">
        <x:v>15</x:v>
      </x:c>
      <x:c r="T128" t="n">
        <x:v>60000000</x:v>
      </x:c>
      <x:c r="U128" t="n">
        <x:v>170268750</x:v>
      </x:c>
      <x:c r="V128" t="n">
        <x:v>0</x:v>
      </x:c>
      <x:c r="W128" t="n">
        <x:v>0</x:v>
      </x:c>
    </x:row>
    <x:row r="129">
      <x:c r="J129" t="n">
        <x:v>127</x:v>
      </x:c>
      <x:c r="K129" t="str">
        <x:v>Intolerable Cruelty</x:v>
      </x:c>
      <x:c r="L129" t="n">
        <x:v>37904</x:v>
      </x:c>
      <x:c r="M129" t="n">
        <x:v>100</x:v>
      </x:c>
      <x:c r="N129" t="str">
        <x:v>Comedy</x:v>
      </x:c>
      <x:c r="O129" t="str">
        <x:v>Joel Coen</x:v>
      </x:c>
      <x:c r="P129" t="str">
        <x:v>Imagine Entertainment</x:v>
      </x:c>
      <x:c r="Q129" t="str">
        <x:v>United States</x:v>
      </x:c>
      <x:c r="R129" t="str">
        <x:v>English</x:v>
      </x:c>
      <x:c r="S129" t="str">
        <x:v>12A</x:v>
      </x:c>
      <x:c r="T129" t="n">
        <x:v>60000000</x:v>
      </x:c>
      <x:c r="U129" t="n">
        <x:v>120217409</x:v>
      </x:c>
      <x:c r="V129" t="n">
        <x:v>0</x:v>
      </x:c>
      <x:c r="W129" t="n">
        <x:v>0</x:v>
      </x:c>
    </x:row>
    <x:row r="130">
      <x:c r="J130" t="n">
        <x:v>128</x:v>
      </x:c>
      <x:c r="K130" t="n">
        <x:v>300</x:v>
      </x:c>
      <x:c r="L130" t="n">
        <x:v>39164</x:v>
      </x:c>
      <x:c r="M130" t="n">
        <x:v>117</x:v>
      </x:c>
      <x:c r="N130" t="str">
        <x:v>Adventure</x:v>
      </x:c>
      <x:c r="O130" t="str">
        <x:v>Zack Snyder</x:v>
      </x:c>
      <x:c r="P130" t="str">
        <x:v>Legendary Pictures</x:v>
      </x:c>
      <x:c r="Q130" t="str">
        <x:v>United States</x:v>
      </x:c>
      <x:c r="R130" t="str">
        <x:v>English</x:v>
      </x:c>
      <x:c r="S130" t="n">
        <x:v>15</x:v>
      </x:c>
      <x:c r="T130" t="n">
        <x:v>65000000</x:v>
      </x:c>
      <x:c r="U130" t="n">
        <x:v>456000000</x:v>
      </x:c>
      <x:c r="V130" t="n">
        <x:v>0</x:v>
      </x:c>
      <x:c r="W130" t="n">
        <x:v>0</x:v>
      </x:c>
    </x:row>
    <x:row r="131">
      <x:c r="J131" t="n">
        <x:v>129</x:v>
      </x:c>
      <x:c r="K131" t="str">
        <x:v>Star Trek: Nemesis</x:v>
      </x:c>
      <x:c r="L131" t="n">
        <x:v>37624</x:v>
      </x:c>
      <x:c r="M131" t="n">
        <x:v>116</x:v>
      </x:c>
      <x:c r="N131" t="str">
        <x:v>Science Fiction</x:v>
      </x:c>
      <x:c r="O131" t="str">
        <x:v>Stuart Baird</x:v>
      </x:c>
      <x:c r="P131" t="str">
        <x:v>Paramount Pictures</x:v>
      </x:c>
      <x:c r="Q131" t="str">
        <x:v>United States</x:v>
      </x:c>
      <x:c r="R131" t="str">
        <x:v>English</x:v>
      </x:c>
      <x:c r="S131" t="str">
        <x:v>12A</x:v>
      </x:c>
      <x:c r="T131" t="n">
        <x:v>60000000</x:v>
      </x:c>
      <x:c r="U131" t="n">
        <x:v>67312826</x:v>
      </x:c>
      <x:c r="V131" t="n">
        <x:v>0</x:v>
      </x:c>
      <x:c r="W131" t="n">
        <x:v>0</x:v>
      </x:c>
    </x:row>
    <x:row r="132">
      <x:c r="J132" t="n">
        <x:v>130</x:v>
      </x:c>
      <x:c r="K132" t="str">
        <x:v>Superman</x:v>
      </x:c>
      <x:c r="L132" t="n">
        <x:v>28834</x:v>
      </x:c>
      <x:c r="M132" t="n">
        <x:v>143</x:v>
      </x:c>
      <x:c r="N132" t="str">
        <x:v>Adventure</x:v>
      </x:c>
      <x:c r="O132" t="str">
        <x:v>Richard Donner</x:v>
      </x:c>
      <x:c r="P132" t="str">
        <x:v>Dovemead</x:v>
      </x:c>
      <x:c r="Q132" t="str">
        <x:v>United States</x:v>
      </x:c>
      <x:c r="R132" t="str">
        <x:v>English</x:v>
      </x:c>
      <x:c r="S132" t="str">
        <x:v>PG</x:v>
      </x:c>
      <x:c r="T132" t="n">
        <x:v>55000000</x:v>
      </x:c>
      <x:c r="U132" t="n">
        <x:v>300218018</x:v>
      </x:c>
      <x:c r="V132" t="n">
        <x:v>3</x:v>
      </x:c>
      <x:c r="W132" t="n">
        <x:v>0</x:v>
      </x:c>
    </x:row>
    <x:row r="133">
      <x:c r="J133" t="n">
        <x:v>131</x:v>
      </x:c>
      <x:c r="K133" t="str">
        <x:v>Crimson Tide</x:v>
      </x:c>
      <x:c r="L133" t="n">
        <x:v>34831</x:v>
      </x:c>
      <x:c r="M133" t="n">
        <x:v>116</x:v>
      </x:c>
      <x:c r="N133" t="str">
        <x:v>Thriller</x:v>
      </x:c>
      <x:c r="O133" t="str">
        <x:v>Tony Scott</x:v>
      </x:c>
      <x:c r="P133" t="str">
        <x:v>Hollywood Pictures</x:v>
      </x:c>
      <x:c r="Q133" t="str">
        <x:v>United States</x:v>
      </x:c>
      <x:c r="R133" t="str">
        <x:v>English</x:v>
      </x:c>
      <x:c r="S133" t="n">
        <x:v>15</x:v>
      </x:c>
      <x:c r="T133" t="n">
        <x:v>53000000</x:v>
      </x:c>
      <x:c r="U133" t="n">
        <x:v>157387195</x:v>
      </x:c>
      <x:c r="V133" t="n">
        <x:v>3</x:v>
      </x:c>
      <x:c r="W133" t="n">
        <x:v>0</x:v>
      </x:c>
    </x:row>
    <x:row r="134">
      <x:c r="J134" t="n">
        <x:v>132</x:v>
      </x:c>
      <x:c r="K134" t="str">
        <x:v>Deja Vu</x:v>
      </x:c>
      <x:c r="L134" t="n">
        <x:v>39043</x:v>
      </x:c>
      <x:c r="M134" t="n">
        <x:v>126</x:v>
      </x:c>
      <x:c r="N134" t="str">
        <x:v>Thriller</x:v>
      </x:c>
      <x:c r="O134" t="str">
        <x:v>Tony Scott</x:v>
      </x:c>
      <x:c r="P134" t="str">
        <x:v>Touchstone Pictures</x:v>
      </x:c>
      <x:c r="Q134" t="str">
        <x:v>United States</x:v>
      </x:c>
      <x:c r="R134" t="str">
        <x:v>English</x:v>
      </x:c>
      <x:c r="S134" t="str">
        <x:v>12A</x:v>
      </x:c>
      <x:c r="T134" t="n">
        <x:v>75000000</x:v>
      </x:c>
      <x:c r="U134" t="n">
        <x:v>180557550</x:v>
      </x:c>
      <x:c r="V134" t="n">
        <x:v>0</x:v>
      </x:c>
      <x:c r="W134" t="n">
        <x:v>0</x:v>
      </x:c>
    </x:row>
    <x:row r="135">
      <x:c r="J135" t="n">
        <x:v>133</x:v>
      </x:c>
      <x:c r="K135" t="str">
        <x:v>Man On Fire</x:v>
      </x:c>
      <x:c r="L135" t="n">
        <x:v>38098</x:v>
      </x:c>
      <x:c r="M135" t="n">
        <x:v>146</x:v>
      </x:c>
      <x:c r="N135" t="str">
        <x:v>Thriller</x:v>
      </x:c>
      <x:c r="O135" t="str">
        <x:v>Tony Scott</x:v>
      </x:c>
      <x:c r="P135" t="str">
        <x:v>Regency Enterprises</x:v>
      </x:c>
      <x:c r="Q135" t="str">
        <x:v>United States</x:v>
      </x:c>
      <x:c r="R135" t="str">
        <x:v>English</x:v>
      </x:c>
      <x:c r="S135" t="n">
        <x:v>18</x:v>
      </x:c>
      <x:c r="T135" t="n">
        <x:v>70000000</x:v>
      </x:c>
      <x:c r="U135" t="n">
        <x:v>130293714</x:v>
      </x:c>
      <x:c r="V135" t="n">
        <x:v>0</x:v>
      </x:c>
      <x:c r="W135" t="n">
        <x:v>0</x:v>
      </x:c>
    </x:row>
    <x:row r="136">
      <x:c r="J136" t="n">
        <x:v>134</x:v>
      </x:c>
      <x:c r="K136" t="str">
        <x:v>Enemy of the State</x:v>
      </x:c>
      <x:c r="L136" t="n">
        <x:v>36155</x:v>
      </x:c>
      <x:c r="M136" t="n">
        <x:v>132</x:v>
      </x:c>
      <x:c r="N136" t="str">
        <x:v>Thriller</x:v>
      </x:c>
      <x:c r="O136" t="str">
        <x:v>Tony Scott</x:v>
      </x:c>
      <x:c r="P136" t="str">
        <x:v>Touchstone Pictures</x:v>
      </x:c>
      <x:c r="Q136" t="str">
        <x:v>United States</x:v>
      </x:c>
      <x:c r="R136" t="str">
        <x:v>English</x:v>
      </x:c>
      <x:c r="S136" t="n">
        <x:v>15</x:v>
      </x:c>
      <x:c r="T136" t="n">
        <x:v>90000000</x:v>
      </x:c>
      <x:c r="U136" t="n">
        <x:v>250649836</x:v>
      </x:c>
      <x:c r="V136" t="n">
        <x:v>0</x:v>
      </x:c>
      <x:c r="W136" t="n">
        <x:v>0</x:v>
      </x:c>
    </x:row>
    <x:row r="137">
      <x:c r="J137" t="n">
        <x:v>135</x:v>
      </x:c>
      <x:c r="K137" t="str">
        <x:v>Kill Bill: Vol. 1</x:v>
      </x:c>
      <x:c r="L137" t="n">
        <x:v>37911</x:v>
      </x:c>
      <x:c r="M137" t="n">
        <x:v>111</x:v>
      </x:c>
      <x:c r="N137" t="str">
        <x:v>Martial Arts</x:v>
      </x:c>
      <x:c r="O137" t="str">
        <x:v>Quentin Tarantino</x:v>
      </x:c>
      <x:c r="P137" t="str">
        <x:v>A Band Apart</x:v>
      </x:c>
      <x:c r="Q137" t="str">
        <x:v>United States</x:v>
      </x:c>
      <x:c r="R137" t="str">
        <x:v>English</x:v>
      </x:c>
      <x:c r="S137" t="n">
        <x:v>18</x:v>
      </x:c>
      <x:c r="T137" t="n">
        <x:v>30000000</x:v>
      </x:c>
      <x:c r="U137" t="n">
        <x:v>180900000</x:v>
      </x:c>
      <x:c r="V137" t="n">
        <x:v>0</x:v>
      </x:c>
      <x:c r="W137" t="n">
        <x:v>0</x:v>
      </x:c>
    </x:row>
    <x:row r="138">
      <x:c r="J138" t="n">
        <x:v>136</x:v>
      </x:c>
      <x:c r="K138" t="str">
        <x:v>Alien 3</x:v>
      </x:c>
      <x:c r="L138" t="n">
        <x:v>33746</x:v>
      </x:c>
      <x:c r="M138" t="n">
        <x:v>115</x:v>
      </x:c>
      <x:c r="N138" t="str">
        <x:v>Science Fiction</x:v>
      </x:c>
      <x:c r="O138" t="str">
        <x:v>David Fincher</x:v>
      </x:c>
      <x:c r="P138" t="str">
        <x:v>Brandywine Productions</x:v>
      </x:c>
      <x:c r="Q138" t="str">
        <x:v>United States</x:v>
      </x:c>
      <x:c r="R138" t="str">
        <x:v>English</x:v>
      </x:c>
      <x:c r="S138" t="n">
        <x:v>18</x:v>
      </x:c>
      <x:c r="T138" t="n">
        <x:v>55000000</x:v>
      </x:c>
      <x:c r="U138" t="n">
        <x:v>159800000</x:v>
      </x:c>
      <x:c r="V138" t="n">
        <x:v>1</x:v>
      </x:c>
      <x:c r="W138" t="n">
        <x:v>0</x:v>
      </x:c>
    </x:row>
    <x:row r="139">
      <x:c r="J139" t="n">
        <x:v>137</x:v>
      </x:c>
      <x:c r="K139" t="str">
        <x:v>Shanghai Noon</x:v>
      </x:c>
      <x:c r="L139" t="n">
        <x:v>36672</x:v>
      </x:c>
      <x:c r="M139" t="n">
        <x:v>110</x:v>
      </x:c>
      <x:c r="N139" t="str">
        <x:v>Martial Arts</x:v>
      </x:c>
      <x:c r="O139" t="str">
        <x:v>Tom Dey</x:v>
      </x:c>
      <x:c r="P139" t="str">
        <x:v>Touchstone Pictures</x:v>
      </x:c>
      <x:c r="Q139" t="str">
        <x:v>United States</x:v>
      </x:c>
      <x:c r="R139" t="str">
        <x:v>English</x:v>
      </x:c>
      <x:c r="S139" t="n">
        <x:v>12</x:v>
      </x:c>
      <x:c r="T139" t="n">
        <x:v>55000000</x:v>
      </x:c>
      <x:c r="U139" t="n">
        <x:v>99274467</x:v>
      </x:c>
      <x:c r="V139" t="n">
        <x:v>0</x:v>
      </x:c>
      <x:c r="W139" t="n">
        <x:v>0</x:v>
      </x:c>
    </x:row>
    <x:row r="140">
      <x:c r="J140" t="n">
        <x:v>138</x:v>
      </x:c>
      <x:c r="K140" t="str">
        <x:v>Kill Bill: Vol. 2</x:v>
      </x:c>
      <x:c r="L140" t="n">
        <x:v>38100</x:v>
      </x:c>
      <x:c r="M140" t="n">
        <x:v>136</x:v>
      </x:c>
      <x:c r="N140" t="str">
        <x:v>Martial Arts</x:v>
      </x:c>
      <x:c r="O140" t="str">
        <x:v>Quentin Tarantino</x:v>
      </x:c>
      <x:c r="P140" t="str">
        <x:v>A Band Apart</x:v>
      </x:c>
      <x:c r="Q140" t="str">
        <x:v>United States</x:v>
      </x:c>
      <x:c r="R140" t="str">
        <x:v>English</x:v>
      </x:c>
      <x:c r="S140" t="n">
        <x:v>18</x:v>
      </x:c>
      <x:c r="T140" t="n">
        <x:v>30000000</x:v>
      </x:c>
      <x:c r="U140" t="n">
        <x:v>152159461</x:v>
      </x:c>
      <x:c r="V140" t="n">
        <x:v>0</x:v>
      </x:c>
      <x:c r="W140" t="n">
        <x:v>0</x:v>
      </x:c>
    </x:row>
    <x:row r="141">
      <x:c r="J141" t="n">
        <x:v>139</x:v>
      </x:c>
      <x:c r="K141" t="str">
        <x:v>Blade II</x:v>
      </x:c>
      <x:c r="L141" t="n">
        <x:v>37337</x:v>
      </x:c>
      <x:c r="M141" t="n">
        <x:v>116</x:v>
      </x:c>
      <x:c r="N141" t="str">
        <x:v>Action</x:v>
      </x:c>
      <x:c r="O141" t="str">
        <x:v>Guillermo del Toro</x:v>
      </x:c>
      <x:c r="P141" t="str">
        <x:v>New Line Cinema</x:v>
      </x:c>
      <x:c r="Q141" t="str">
        <x:v>United States</x:v>
      </x:c>
      <x:c r="R141" t="str">
        <x:v>English</x:v>
      </x:c>
      <x:c r="S141" t="n">
        <x:v>18</x:v>
      </x:c>
      <x:c r="T141" t="n">
        <x:v>50000000</x:v>
      </x:c>
      <x:c r="U141" t="n">
        <x:v>155010032</x:v>
      </x:c>
      <x:c r="V141" t="n">
        <x:v>0</x:v>
      </x:c>
      <x:c r="W141" t="n">
        <x:v>0</x:v>
      </x:c>
    </x:row>
    <x:row r="142">
      <x:c r="J142" t="n">
        <x:v>140</x:v>
      </x:c>
      <x:c r="K142" t="str">
        <x:v>Flags of our Fathers</x:v>
      </x:c>
      <x:c r="L142" t="n">
        <x:v>39010</x:v>
      </x:c>
      <x:c r="M142" t="n">
        <x:v>132</x:v>
      </x:c>
      <x:c r="N142" t="str">
        <x:v>War</x:v>
      </x:c>
      <x:c r="O142" t="str">
        <x:v>Clint Eastwood</x:v>
      </x:c>
      <x:c r="P142" t="str">
        <x:v>Paramount Pictures</x:v>
      </x:c>
      <x:c r="Q142" t="str">
        <x:v>United States</x:v>
      </x:c>
      <x:c r="R142" t="str">
        <x:v>English</x:v>
      </x:c>
      <x:c r="S142" t="n">
        <x:v>15</x:v>
      </x:c>
      <x:c r="T142" t="n">
        <x:v>55000000</x:v>
      </x:c>
      <x:c r="U142" t="n">
        <x:v>65900249</x:v>
      </x:c>
      <x:c r="V142" t="n">
        <x:v>2</x:v>
      </x:c>
      <x:c r="W142" t="n">
        <x:v>0</x:v>
      </x:c>
    </x:row>
    <x:row r="143">
      <x:c r="J143" t="n">
        <x:v>141</x:v>
      </x:c>
      <x:c r="K143" t="str">
        <x:v>Casino</x:v>
      </x:c>
      <x:c r="L143" t="n">
        <x:v>35118</x:v>
      </x:c>
      <x:c r="M143" t="n">
        <x:v>178</x:v>
      </x:c>
      <x:c r="N143" t="str">
        <x:v>Crime</x:v>
      </x:c>
      <x:c r="O143" t="str">
        <x:v>Martin Scorsese</x:v>
      </x:c>
      <x:c r="P143" t="str">
        <x:v>Universal Pictures</x:v>
      </x:c>
      <x:c r="Q143" t="str">
        <x:v>United States</x:v>
      </x:c>
      <x:c r="R143" t="str">
        <x:v>English</x:v>
      </x:c>
      <x:c r="S143" t="n">
        <x:v>18</x:v>
      </x:c>
      <x:c r="T143" t="n">
        <x:v>50000000</x:v>
      </x:c>
      <x:c r="U143" t="n">
        <x:v>116112375</x:v>
      </x:c>
      <x:c r="V143" t="n">
        <x:v>1</x:v>
      </x:c>
      <x:c r="W143" t="n">
        <x:v>0</x:v>
      </x:c>
    </x:row>
    <x:row r="144">
      <x:c r="J144" t="n">
        <x:v>142</x:v>
      </x:c>
      <x:c r="K144" t="str">
        <x:v>Robin Hood: Prince of Thieves</x:v>
      </x:c>
      <x:c r="L144" t="n">
        <x:v>33403</x:v>
      </x:c>
      <x:c r="M144" t="n">
        <x:v>155</x:v>
      </x:c>
      <x:c r="N144" t="str">
        <x:v>Adventure</x:v>
      </x:c>
      <x:c r="O144" t="str">
        <x:v>Kevin Reynolds</x:v>
      </x:c>
      <x:c r="P144" t="str">
        <x:v>Morgan Creek Productions</x:v>
      </x:c>
      <x:c r="Q144" t="str">
        <x:v>United States</x:v>
      </x:c>
      <x:c r="R144" t="str">
        <x:v>English</x:v>
      </x:c>
      <x:c r="S144" t="str">
        <x:v>PG</x:v>
      </x:c>
      <x:c r="T144" t="n">
        <x:v>48000000</x:v>
      </x:c>
      <x:c r="U144" t="n">
        <x:v>390493908</x:v>
      </x:c>
      <x:c r="V144" t="n">
        <x:v>1</x:v>
      </x:c>
      <x:c r="W144" t="n">
        <x:v>0</x:v>
      </x:c>
    </x:row>
    <x:row r="145">
      <x:c r="J145" t="n">
        <x:v>143</x:v>
      </x:c>
      <x:c r="K145" t="str">
        <x:v>Shrek</x:v>
      </x:c>
      <x:c r="L145" t="n">
        <x:v>37029</x:v>
      </x:c>
      <x:c r="M145" t="n">
        <x:v>90</x:v>
      </x:c>
      <x:c r="N145" t="str">
        <x:v>Animation</x:v>
      </x:c>
      <x:c r="O145" t="str">
        <x:v>Andrew Adamson</x:v>
      </x:c>
      <x:c r="P145" t="str">
        <x:v>Pacific Data Images</x:v>
      </x:c>
      <x:c r="Q145" t="str">
        <x:v>United States</x:v>
      </x:c>
      <x:c r="R145" t="str">
        <x:v>English</x:v>
      </x:c>
      <x:c r="S145" t="str">
        <x:v>U</x:v>
      </x:c>
      <x:c r="T145" t="n">
        <x:v>60000000</x:v>
      </x:c>
      <x:c r="U145" t="n">
        <x:v>484409218</x:v>
      </x:c>
      <x:c r="V145" t="n">
        <x:v>2</x:v>
      </x:c>
      <x:c r="W145" t="n">
        <x:v>1</x:v>
      </x:c>
    </x:row>
    <x:row r="146">
      <x:c r="J146" t="n">
        <x:v>144</x:v>
      </x:c>
      <x:c r="K146" t="str">
        <x:v>Shanghai Knights</x:v>
      </x:c>
      <x:c r="L146" t="n">
        <x:v>37659</x:v>
      </x:c>
      <x:c r="M146" t="n">
        <x:v>114</x:v>
      </x:c>
      <x:c r="N146" t="str">
        <x:v>Martial Arts</x:v>
      </x:c>
      <x:c r="O146" t="str">
        <x:v>David Dobkin</x:v>
      </x:c>
      <x:c r="P146" t="str">
        <x:v>Touchstone Pictures</x:v>
      </x:c>
      <x:c r="Q146" t="str">
        <x:v>United States</x:v>
      </x:c>
      <x:c r="R146" t="str">
        <x:v>English</x:v>
      </x:c>
      <x:c r="S146" t="str">
        <x:v>12A</x:v>
      </x:c>
      <x:c r="T146" t="n">
        <x:v>50000000</x:v>
      </x:c>
      <x:c r="U146" t="n">
        <x:v>88323487</x:v>
      </x:c>
      <x:c r="V146" t="n">
        <x:v>0</x:v>
      </x:c>
      <x:c r="W146" t="n">
        <x:v>0</x:v>
      </x:c>
    </x:row>
    <x:row r="147">
      <x:c r="J147" t="n">
        <x:v>145</x:v>
      </x:c>
      <x:c r="K147" t="str">
        <x:v>Indiana Jones and the Last Crusade</x:v>
      </x:c>
      <x:c r="L147" t="n">
        <x:v>32652</x:v>
      </x:c>
      <x:c r="M147" t="n">
        <x:v>127</x:v>
      </x:c>
      <x:c r="N147" t="str">
        <x:v>Adventure</x:v>
      </x:c>
      <x:c r="O147" t="str">
        <x:v>Steven Spielberg</x:v>
      </x:c>
      <x:c r="P147" t="str">
        <x:v>Lucasfilm</x:v>
      </x:c>
      <x:c r="Q147" t="str">
        <x:v>United States</x:v>
      </x:c>
      <x:c r="R147" t="str">
        <x:v>English</x:v>
      </x:c>
      <x:c r="S147" t="str">
        <x:v>PG</x:v>
      </x:c>
      <x:c r="T147" t="n">
        <x:v>48000000</x:v>
      </x:c>
      <x:c r="U147" t="n">
        <x:v>474200000</x:v>
      </x:c>
      <x:c r="V147" t="n">
        <x:v>3</x:v>
      </x:c>
      <x:c r="W147" t="n">
        <x:v>1</x:v>
      </x:c>
    </x:row>
    <x:row r="148">
      <x:c r="J148" t="n">
        <x:v>146</x:v>
      </x:c>
      <x:c r="K148" t="str">
        <x:v>Star Trek: First Contact</x:v>
      </x:c>
      <x:c r="L148" t="n">
        <x:v>35391</x:v>
      </x:c>
      <x:c r="M148" t="n">
        <x:v>111</x:v>
      </x:c>
      <x:c r="N148" t="str">
        <x:v>Science Fiction</x:v>
      </x:c>
      <x:c r="O148" t="str">
        <x:v>Jonathan Frakes</x:v>
      </x:c>
      <x:c r="P148" t="str">
        <x:v>Paramount Pictures</x:v>
      </x:c>
      <x:c r="Q148" t="str">
        <x:v>United States</x:v>
      </x:c>
      <x:c r="R148" t="str">
        <x:v>English</x:v>
      </x:c>
      <x:c r="S148" t="n">
        <x:v>12</x:v>
      </x:c>
      <x:c r="T148" t="n">
        <x:v>45000000</x:v>
      </x:c>
      <x:c r="U148" t="n">
        <x:v>146027888</x:v>
      </x:c>
      <x:c r="V148" t="n">
        <x:v>1</x:v>
      </x:c>
      <x:c r="W148" t="n">
        <x:v>0</x:v>
      </x:c>
    </x:row>
    <x:row r="149">
      <x:c r="J149" t="n">
        <x:v>147</x:v>
      </x:c>
      <x:c r="K149" t="str">
        <x:v>Blade</x:v>
      </x:c>
      <x:c r="L149" t="n">
        <x:v>36028</x:v>
      </x:c>
      <x:c r="M149" t="n">
        <x:v>120</x:v>
      </x:c>
      <x:c r="N149" t="str">
        <x:v>Fantasy</x:v>
      </x:c>
      <x:c r="O149" t="str">
        <x:v>Stephen Norrington</x:v>
      </x:c>
      <x:c r="P149" t="str">
        <x:v>New Line Cinema</x:v>
      </x:c>
      <x:c r="Q149" t="str">
        <x:v>United States</x:v>
      </x:c>
      <x:c r="R149" t="str">
        <x:v>English</x:v>
      </x:c>
      <x:c r="S149" t="n">
        <x:v>18</x:v>
      </x:c>
      <x:c r="T149" t="n">
        <x:v>40000000</x:v>
      </x:c>
      <x:c r="U149" t="n">
        <x:v>131183530</x:v>
      </x:c>
      <x:c r="V149" t="n">
        <x:v>0</x:v>
      </x:c>
      <x:c r="W149" t="n">
        <x:v>0</x:v>
      </x:c>
    </x:row>
    <x:row r="150">
      <x:c r="J150" t="n">
        <x:v>148</x:v>
      </x:c>
      <x:c r="K150" t="str">
        <x:v>Patriot Games</x:v>
      </x:c>
      <x:c r="L150" t="n">
        <x:v>33760</x:v>
      </x:c>
      <x:c r="M150" t="n">
        <x:v>117</x:v>
      </x:c>
      <x:c r="N150" t="str">
        <x:v>Thriller</x:v>
      </x:c>
      <x:c r="O150" t="str">
        <x:v>Phillip Noyce</x:v>
      </x:c>
      <x:c r="P150" t="str">
        <x:v>Paramount Pictures</x:v>
      </x:c>
      <x:c r="Q150" t="str">
        <x:v>United States</x:v>
      </x:c>
      <x:c r="R150" t="str">
        <x:v>English</x:v>
      </x:c>
      <x:c r="S150" t="n">
        <x:v>15</x:v>
      </x:c>
      <x:c r="T150" t="n">
        <x:v>45000000</x:v>
      </x:c>
      <x:c r="U150" t="n">
        <x:v>178051587</x:v>
      </x:c>
      <x:c r="V150" t="n">
        <x:v>0</x:v>
      </x:c>
      <x:c r="W150" t="n">
        <x:v>0</x:v>
      </x:c>
    </x:row>
    <x:row r="151">
      <x:c r="J151" t="n">
        <x:v>149</x:v>
      </x:c>
      <x:c r="K151" t="str">
        <x:v>The Fugitive</x:v>
      </x:c>
      <x:c r="L151" t="n">
        <x:v>34187</x:v>
      </x:c>
      <x:c r="M151" t="n">
        <x:v>130</x:v>
      </x:c>
      <x:c r="N151" t="str">
        <x:v>Thriller</x:v>
      </x:c>
      <x:c r="O151" t="str">
        <x:v>Andrew Davis</x:v>
      </x:c>
      <x:c r="P151" t="str">
        <x:v>Warner Bros. Pictures</x:v>
      </x:c>
      <x:c r="Q151" t="str">
        <x:v>United States</x:v>
      </x:c>
      <x:c r="R151" t="str">
        <x:v>English</x:v>
      </x:c>
      <x:c r="S151" t="n">
        <x:v>12</x:v>
      </x:c>
      <x:c r="T151" t="n">
        <x:v>44000000</x:v>
      </x:c>
      <x:c r="U151" t="n">
        <x:v>368875760</x:v>
      </x:c>
      <x:c r="V151" t="n">
        <x:v>7</x:v>
      </x:c>
      <x:c r="W151" t="n">
        <x:v>1</x:v>
      </x:c>
    </x:row>
    <x:row r="152">
      <x:c r="J152" t="n">
        <x:v>150</x:v>
      </x:c>
      <x:c r="K152" t="str">
        <x:v>The Prestige</x:v>
      </x:c>
      <x:c r="L152" t="n">
        <x:v>39010</x:v>
      </x:c>
      <x:c r="M152" t="n">
        <x:v>130</x:v>
      </x:c>
      <x:c r="N152" t="str">
        <x:v>Mystery</x:v>
      </x:c>
      <x:c r="O152" t="str">
        <x:v>Christopher Nolan</x:v>
      </x:c>
      <x:c r="P152" t="str">
        <x:v>Touchstone Pictures</x:v>
      </x:c>
      <x:c r="Q152" t="str">
        <x:v>United States</x:v>
      </x:c>
      <x:c r="R152" t="str">
        <x:v>English</x:v>
      </x:c>
      <x:c r="S152" t="str">
        <x:v>12A</x:v>
      </x:c>
      <x:c r="T152" t="n">
        <x:v>40000000</x:v>
      </x:c>
      <x:c r="U152" t="n">
        <x:v>109700000</x:v>
      </x:c>
      <x:c r="V152" t="n">
        <x:v>2</x:v>
      </x:c>
      <x:c r="W152" t="n">
        <x:v>0</x:v>
      </x:c>
    </x:row>
    <x:row r="153">
      <x:c r="J153" t="n">
        <x:v>151</x:v>
      </x:c>
      <x:c r="K153" t="str">
        <x:v>The Last of the Mohicans</x:v>
      </x:c>
      <x:c r="L153" t="n">
        <x:v>33872</x:v>
      </x:c>
      <x:c r="M153" t="n">
        <x:v>112</x:v>
      </x:c>
      <x:c r="N153" t="str">
        <x:v>Adventure</x:v>
      </x:c>
      <x:c r="O153" t="str">
        <x:v>Michael Mann</x:v>
      </x:c>
      <x:c r="P153" t="str">
        <x:v>Morgan Creek Productions</x:v>
      </x:c>
      <x:c r="Q153" t="str">
        <x:v>United States</x:v>
      </x:c>
      <x:c r="R153" t="str">
        <x:v>English</x:v>
      </x:c>
      <x:c r="S153" t="n">
        <x:v>12</x:v>
      </x:c>
      <x:c r="T153" t="n">
        <x:v>40000000</x:v>
      </x:c>
      <x:c r="U153" t="n">
        <x:v>75505856</x:v>
      </x:c>
      <x:c r="V153" t="n">
        <x:v>1</x:v>
      </x:c>
      <x:c r="W153" t="n">
        <x:v>1</x:v>
      </x:c>
    </x:row>
    <x:row r="154">
      <x:c r="J154" t="n">
        <x:v>152</x:v>
      </x:c>
      <x:c r="K154" t="str">
        <x:v>Apocalypto</x:v>
      </x:c>
      <x:c r="L154" t="n">
        <x:v>39059</x:v>
      </x:c>
      <x:c r="M154" t="n">
        <x:v>138</x:v>
      </x:c>
      <x:c r="N154" t="str">
        <x:v>Adventure</x:v>
      </x:c>
      <x:c r="O154" t="str">
        <x:v>Mel Gibson</x:v>
      </x:c>
      <x:c r="P154" t="str">
        <x:v>Touchstone Pictures</x:v>
      </x:c>
      <x:c r="Q154" t="str">
        <x:v>United States</x:v>
      </x:c>
      <x:c r="R154" t="str">
        <x:v>Mayan</x:v>
      </x:c>
      <x:c r="S154" t="n">
        <x:v>18</x:v>
      </x:c>
      <x:c r="T154" t="n">
        <x:v>40000000</x:v>
      </x:c>
      <x:c r="U154" t="n">
        <x:v>120600000</x:v>
      </x:c>
      <x:c r="V154" t="n">
        <x:v>3</x:v>
      </x:c>
      <x:c r="W154" t="n">
        <x:v>0</x:v>
      </x:c>
    </x:row>
    <x:row r="155">
      <x:c r="J155" t="n">
        <x:v>153</x:v>
      </x:c>
      <x:c r="K155" t="str">
        <x:v>Wedding Crashers</x:v>
      </x:c>
      <x:c r="L155" t="n">
        <x:v>38548</x:v>
      </x:c>
      <x:c r="M155" t="n">
        <x:v>119</x:v>
      </x:c>
      <x:c r="N155" t="str">
        <x:v>Comedy</x:v>
      </x:c>
      <x:c r="O155" t="str">
        <x:v>David Dobkin</x:v>
      </x:c>
      <x:c r="P155" t="str">
        <x:v>Tapestry Films</x:v>
      </x:c>
      <x:c r="Q155" t="str">
        <x:v>United States</x:v>
      </x:c>
      <x:c r="R155" t="str">
        <x:v>English</x:v>
      </x:c>
      <x:c r="S155" t="n">
        <x:v>15</x:v>
      </x:c>
      <x:c r="T155" t="n">
        <x:v>40000000</x:v>
      </x:c>
      <x:c r="U155" t="n">
        <x:v>285176741</x:v>
      </x:c>
      <x:c r="V155" t="n">
        <x:v>0</x:v>
      </x:c>
      <x:c r="W155" t="n">
        <x:v>0</x:v>
      </x:c>
    </x:row>
    <x:row r="156">
      <x:c r="J156" t="n">
        <x:v>154</x:v>
      </x:c>
      <x:c r="K156" t="str">
        <x:v>Back to the Future Part III</x:v>
      </x:c>
      <x:c r="L156" t="n">
        <x:v>33018</x:v>
      </x:c>
      <x:c r="M156" t="n">
        <x:v>118</x:v>
      </x:c>
      <x:c r="N156" t="str">
        <x:v>Science Fiction</x:v>
      </x:c>
      <x:c r="O156" t="str">
        <x:v>Robert Zemeckis</x:v>
      </x:c>
      <x:c r="P156" t="str">
        <x:v>Amblin Entertainment</x:v>
      </x:c>
      <x:c r="Q156" t="str">
        <x:v>United States</x:v>
      </x:c>
      <x:c r="R156" t="str">
        <x:v>English</x:v>
      </x:c>
      <x:c r="S156" t="str">
        <x:v>PG</x:v>
      </x:c>
      <x:c r="T156" t="n">
        <x:v>40000000</x:v>
      </x:c>
      <x:c r="U156" t="n">
        <x:v>244500000</x:v>
      </x:c>
      <x:c r="V156" t="n">
        <x:v>0</x:v>
      </x:c>
      <x:c r="W156" t="n">
        <x:v>0</x:v>
      </x:c>
    </x:row>
    <x:row r="157">
      <x:c r="J157" t="n">
        <x:v>155</x:v>
      </x:c>
      <x:c r="K157" t="str">
        <x:v>Back to the Future Part II</x:v>
      </x:c>
      <x:c r="L157" t="n">
        <x:v>32834</x:v>
      </x:c>
      <x:c r="M157" t="n">
        <x:v>108</x:v>
      </x:c>
      <x:c r="N157" t="str">
        <x:v>Science Fiction</x:v>
      </x:c>
      <x:c r="O157" t="str">
        <x:v>Robert Zemeckis</x:v>
      </x:c>
      <x:c r="P157" t="str">
        <x:v>Amblin Entertainment</x:v>
      </x:c>
      <x:c r="Q157" t="str">
        <x:v>United States</x:v>
      </x:c>
      <x:c r="R157" t="str">
        <x:v>English</x:v>
      </x:c>
      <x:c r="S157" t="str">
        <x:v>PG</x:v>
      </x:c>
      <x:c r="T157" t="n">
        <x:v>40000000</x:v>
      </x:c>
      <x:c r="U157" t="n">
        <x:v>331900000</x:v>
      </x:c>
      <x:c r="V157" t="n">
        <x:v>1</x:v>
      </x:c>
      <x:c r="W157" t="n">
        <x:v>0</x:v>
      </x:c>
    </x:row>
    <x:row r="158">
      <x:c r="J158" t="n">
        <x:v>156</x:v>
      </x:c>
      <x:c r="K158" t="str">
        <x:v>Licence to Kill</x:v>
      </x:c>
      <x:c r="L158" t="n">
        <x:v>32672</x:v>
      </x:c>
      <x:c r="M158" t="n">
        <x:v>133</x:v>
      </x:c>
      <x:c r="N158" t="str">
        <x:v>Thriller</x:v>
      </x:c>
      <x:c r="O158" t="str">
        <x:v>John Glen</x:v>
      </x:c>
      <x:c r="P158" t="str">
        <x:v>Eon Productions</x:v>
      </x:c>
      <x:c r="Q158" t="str">
        <x:v>United Kingdom</x:v>
      </x:c>
      <x:c r="R158" t="str">
        <x:v>English</x:v>
      </x:c>
      <x:c r="S158" t="n">
        <x:v>15</x:v>
      </x:c>
      <x:c r="T158" t="n">
        <x:v>32000000</x:v>
      </x:c>
      <x:c r="U158" t="n">
        <x:v>156000000</x:v>
      </x:c>
      <x:c r="V158" t="n">
        <x:v>0</x:v>
      </x:c>
      <x:c r="W158" t="n">
        <x:v>0</x:v>
      </x:c>
    </x:row>
    <x:row r="159">
      <x:c r="J159" t="n">
        <x:v>157</x:v>
      </x:c>
      <x:c r="K159" t="str">
        <x:v>The Living Daylights</x:v>
      </x:c>
      <x:c r="L159" t="n">
        <x:v>31955</x:v>
      </x:c>
      <x:c r="M159" t="n">
        <x:v>131</x:v>
      </x:c>
      <x:c r="N159" t="str">
        <x:v>Thriller</x:v>
      </x:c>
      <x:c r="O159" t="str">
        <x:v>John Glen</x:v>
      </x:c>
      <x:c r="P159" t="str">
        <x:v>Eon Productions</x:v>
      </x:c>
      <x:c r="Q159" t="str">
        <x:v>United Kingdom</x:v>
      </x:c>
      <x:c r="R159" t="str">
        <x:v>English</x:v>
      </x:c>
      <x:c r="S159" t="str">
        <x:v>PG</x:v>
      </x:c>
      <x:c r="T159" t="n">
        <x:v>40000000</x:v>
      </x:c>
      <x:c r="U159" t="n">
        <x:v>191200000</x:v>
      </x:c>
      <x:c r="V159" t="n">
        <x:v>0</x:v>
      </x:c>
      <x:c r="W159" t="n">
        <x:v>0</x:v>
      </x:c>
    </x:row>
    <x:row r="160">
      <x:c r="J160" t="n">
        <x:v>158</x:v>
      </x:c>
      <x:c r="K160" t="str">
        <x:v>Sin City</x:v>
      </x:c>
      <x:c r="L160" t="n">
        <x:v>38443</x:v>
      </x:c>
      <x:c r="M160" t="n">
        <x:v>124</x:v>
      </x:c>
      <x:c r="N160" t="str">
        <x:v>Crime</x:v>
      </x:c>
      <x:c r="O160" t="str">
        <x:v>Frank Miller</x:v>
      </x:c>
      <x:c r="P160" t="str">
        <x:v>Dimension Films</x:v>
      </x:c>
      <x:c r="Q160" t="str">
        <x:v>United States</x:v>
      </x:c>
      <x:c r="R160" t="str">
        <x:v>English</x:v>
      </x:c>
      <x:c r="S160" t="n">
        <x:v>18</x:v>
      </x:c>
      <x:c r="T160" t="n">
        <x:v>40000000</x:v>
      </x:c>
      <x:c r="U160" t="n">
        <x:v>158800000</x:v>
      </x:c>
      <x:c r="V160" t="n">
        <x:v>0</x:v>
      </x:c>
      <x:c r="W160" t="n">
        <x:v>0</x:v>
      </x:c>
    </x:row>
    <x:row r="161">
      <x:c r="J161" t="n">
        <x:v>159</x:v>
      </x:c>
      <x:c r="K161" t="str">
        <x:v>Serenity</x:v>
      </x:c>
      <x:c r="L161" t="n">
        <x:v>38632</x:v>
      </x:c>
      <x:c r="M161" t="n">
        <x:v>119</x:v>
      </x:c>
      <x:c r="N161" t="str">
        <x:v>Science Fiction</x:v>
      </x:c>
      <x:c r="O161" t="str">
        <x:v>Joss Whedon</x:v>
      </x:c>
      <x:c r="P161" t="str">
        <x:v>Universal Pictures</x:v>
      </x:c>
      <x:c r="Q161" t="str">
        <x:v>United States</x:v>
      </x:c>
      <x:c r="R161" t="str">
        <x:v>English</x:v>
      </x:c>
      <x:c r="S161" t="n">
        <x:v>15</x:v>
      </x:c>
      <x:c r="T161" t="n">
        <x:v>39000000</x:v>
      </x:c>
      <x:c r="U161" t="n">
        <x:v>38869464</x:v>
      </x:c>
      <x:c r="V161" t="n">
        <x:v>0</x:v>
      </x:c>
      <x:c r="W161" t="n">
        <x:v>0</x:v>
      </x:c>
    </x:row>
    <x:row r="162">
      <x:c r="J162" t="n">
        <x:v>160</x:v>
      </x:c>
      <x:c r="K162" t="str">
        <x:v>Star Trek: Generations</x:v>
      </x:c>
      <x:c r="L162" t="n">
        <x:v>34656</x:v>
      </x:c>
      <x:c r="M162" t="n">
        <x:v>118</x:v>
      </x:c>
      <x:c r="N162" t="str">
        <x:v>Science Fiction</x:v>
      </x:c>
      <x:c r="O162" t="str">
        <x:v>David Carson</x:v>
      </x:c>
      <x:c r="P162" t="str">
        <x:v>Paramount Pictures</x:v>
      </x:c>
      <x:c r="Q162" t="str">
        <x:v>United States</x:v>
      </x:c>
      <x:c r="R162" t="str">
        <x:v>English</x:v>
      </x:c>
      <x:c r="S162" t="str">
        <x:v>PG</x:v>
      </x:c>
      <x:c r="T162" t="n">
        <x:v>35000000</x:v>
      </x:c>
      <x:c r="U162" t="n">
        <x:v>118071125</x:v>
      </x:c>
      <x:c r="V162" t="n">
        <x:v>0</x:v>
      </x:c>
      <x:c r="W162" t="n">
        <x:v>0</x:v>
      </x:c>
    </x:row>
    <x:row r="163">
      <x:c r="J163" t="n">
        <x:v>161</x:v>
      </x:c>
      <x:c r="K163" t="str">
        <x:v>Never Say Never Again</x:v>
      </x:c>
      <x:c r="L163" t="n">
        <x:v>30596</x:v>
      </x:c>
      <x:c r="M163" t="n">
        <x:v>134</x:v>
      </x:c>
      <x:c r="N163" t="str">
        <x:v>Thriller</x:v>
      </x:c>
      <x:c r="O163" t="str">
        <x:v>Irvin Kershner</x:v>
      </x:c>
      <x:c r="P163" t="str">
        <x:v>Taliafilm</x:v>
      </x:c>
      <x:c r="Q163" t="str">
        <x:v>United States</x:v>
      </x:c>
      <x:c r="R163" t="str">
        <x:v>English</x:v>
      </x:c>
      <x:c r="S163" t="str">
        <x:v>PG</x:v>
      </x:c>
      <x:c r="T163" t="n">
        <x:v>36000000</x:v>
      </x:c>
      <x:c r="U163" t="n">
        <x:v>160000000</x:v>
      </x:c>
      <x:c r="V163" t="n">
        <x:v>0</x:v>
      </x:c>
      <x:c r="W163" t="n">
        <x:v>0</x:v>
      </x:c>
    </x:row>
    <x:row r="164">
      <x:c r="J164" t="n">
        <x:v>162</x:v>
      </x:c>
      <x:c r="K164" t="str">
        <x:v>Star Trek: The Motion Picture</x:v>
      </x:c>
      <x:c r="L164" t="n">
        <x:v>29196</x:v>
      </x:c>
      <x:c r="M164" t="n">
        <x:v>132</x:v>
      </x:c>
      <x:c r="N164" t="str">
        <x:v>Science Fiction</x:v>
      </x:c>
      <x:c r="O164" t="str">
        <x:v>Robert Wise</x:v>
      </x:c>
      <x:c r="P164" t="str">
        <x:v>Paramount Pictures</x:v>
      </x:c>
      <x:c r="Q164" t="str">
        <x:v>United States</x:v>
      </x:c>
      <x:c r="R164" t="str">
        <x:v>English</x:v>
      </x:c>
      <x:c r="S164" t="str">
        <x:v>U</x:v>
      </x:c>
      <x:c r="T164" t="n">
        <x:v>46000000</x:v>
      </x:c>
      <x:c r="U164" t="n">
        <x:v>139000000</x:v>
      </x:c>
      <x:c r="V164" t="n">
        <x:v>3</x:v>
      </x:c>
      <x:c r="W164" t="n">
        <x:v>0</x:v>
      </x:c>
    </x:row>
    <x:row r="165">
      <x:c r="J165" t="n">
        <x:v>163</x:v>
      </x:c>
      <x:c r="K165" t="str">
        <x:v>Rush Hour</x:v>
      </x:c>
      <x:c r="L165" t="n">
        <x:v>36133</x:v>
      </x:c>
      <x:c r="M165" t="n">
        <x:v>97</x:v>
      </x:c>
      <x:c r="N165" t="str">
        <x:v>Action</x:v>
      </x:c>
      <x:c r="O165" t="str">
        <x:v>Brett Ratner</x:v>
      </x:c>
      <x:c r="P165" t="str">
        <x:v>Roger Birnbaum Productions</x:v>
      </x:c>
      <x:c r="Q165" t="str">
        <x:v>United States</x:v>
      </x:c>
      <x:c r="R165" t="str">
        <x:v>English</x:v>
      </x:c>
      <x:c r="S165" t="n">
        <x:v>15</x:v>
      </x:c>
      <x:c r="T165" t="n">
        <x:v>33000000</x:v>
      </x:c>
      <x:c r="U165" t="n">
        <x:v>244386864</x:v>
      </x:c>
      <x:c r="V165" t="n">
        <x:v>0</x:v>
      </x:c>
      <x:c r="W165" t="n">
        <x:v>0</x:v>
      </x:c>
    </x:row>
    <x:row r="166">
      <x:c r="J166" t="n">
        <x:v>164</x:v>
      </x:c>
      <x:c r="K166" t="str">
        <x:v>Lethal Weapon 3</x:v>
      </x:c>
      <x:c r="L166" t="n">
        <x:v>33830</x:v>
      </x:c>
      <x:c r="M166" t="n">
        <x:v>118</x:v>
      </x:c>
      <x:c r="N166" t="str">
        <x:v>Action</x:v>
      </x:c>
      <x:c r="O166" t="str">
        <x:v>Richard Donner</x:v>
      </x:c>
      <x:c r="P166" t="str">
        <x:v>Silver Pictures</x:v>
      </x:c>
      <x:c r="Q166" t="str">
        <x:v>United States</x:v>
      </x:c>
      <x:c r="R166" t="str">
        <x:v>English</x:v>
      </x:c>
      <x:c r="S166" t="n">
        <x:v>15</x:v>
      </x:c>
      <x:c r="T166" t="n">
        <x:v>35000000</x:v>
      </x:c>
      <x:c r="U166" t="n">
        <x:v>321731527</x:v>
      </x:c>
      <x:c r="V166" t="n">
        <x:v>0</x:v>
      </x:c>
      <x:c r="W166" t="n">
        <x:v>0</x:v>
      </x:c>
    </x:row>
    <x:row r="167">
      <x:c r="J167" t="n">
        <x:v>165</x:v>
      </x:c>
      <x:c r="K167" t="str">
        <x:v>Star Wars: Episode VI - Return of the Jedi</x:v>
      </x:c>
      <x:c r="L167" t="n">
        <x:v>30461</x:v>
      </x:c>
      <x:c r="M167" t="n">
        <x:v>132</x:v>
      </x:c>
      <x:c r="N167" t="str">
        <x:v>Science Fiction</x:v>
      </x:c>
      <x:c r="O167" t="str">
        <x:v>Richard Marquand</x:v>
      </x:c>
      <x:c r="P167" t="str">
        <x:v>Lucasfilm</x:v>
      </x:c>
      <x:c r="Q167" t="str">
        <x:v>United States</x:v>
      </x:c>
      <x:c r="R167" t="str">
        <x:v>English</x:v>
      </x:c>
      <x:c r="S167" t="str">
        <x:v>U</x:v>
      </x:c>
      <x:c r="T167" t="n">
        <x:v>42700000</x:v>
      </x:c>
      <x:c r="U167" t="n">
        <x:v>475100000</x:v>
      </x:c>
      <x:c r="V167" t="n">
        <x:v>4</x:v>
      </x:c>
      <x:c r="W167" t="n">
        <x:v>0</x:v>
      </x:c>
    </x:row>
    <x:row r="168">
      <x:c r="J168" t="n">
        <x:v>166</x:v>
      </x:c>
      <x:c r="K168" t="str">
        <x:v>A History of Violence</x:v>
      </x:c>
      <x:c r="L168" t="n">
        <x:v>38618</x:v>
      </x:c>
      <x:c r="M168" t="n">
        <x:v>96</x:v>
      </x:c>
      <x:c r="N168" t="str">
        <x:v>Drama</x:v>
      </x:c>
      <x:c r="O168" t="str">
        <x:v>David Cronenberg</x:v>
      </x:c>
      <x:c r="P168" t="str">
        <x:v>New Line Cinema</x:v>
      </x:c>
      <x:c r="Q168" t="str">
        <x:v>United States</x:v>
      </x:c>
      <x:c r="R168" t="str">
        <x:v>English</x:v>
      </x:c>
      <x:c r="S168" t="n">
        <x:v>18</x:v>
      </x:c>
      <x:c r="T168" t="n">
        <x:v>32000000</x:v>
      </x:c>
      <x:c r="U168" t="n">
        <x:v>60740827</x:v>
      </x:c>
      <x:c r="V168" t="n">
        <x:v>2</x:v>
      </x:c>
      <x:c r="W168" t="n">
        <x:v>0</x:v>
      </x:c>
    </x:row>
    <x:row r="169">
      <x:c r="J169" t="n">
        <x:v>167</x:v>
      </x:c>
      <x:c r="K169" t="str">
        <x:v>Moonraker</x:v>
      </x:c>
      <x:c r="L169" t="n">
        <x:v>29035</x:v>
      </x:c>
      <x:c r="M169" t="n">
        <x:v>126</x:v>
      </x:c>
      <x:c r="N169" t="str">
        <x:v>Thriller</x:v>
      </x:c>
      <x:c r="O169" t="str">
        <x:v>Lewis Gilbert</x:v>
      </x:c>
      <x:c r="P169" t="str">
        <x:v>Eon Productions</x:v>
      </x:c>
      <x:c r="Q169" t="str">
        <x:v>United Kingdom</x:v>
      </x:c>
      <x:c r="R169" t="str">
        <x:v>English</x:v>
      </x:c>
      <x:c r="S169" t="str">
        <x:v>PG</x:v>
      </x:c>
      <x:c r="T169" t="n">
        <x:v>34000000</x:v>
      </x:c>
      <x:c r="U169" t="n">
        <x:v>210300000</x:v>
      </x:c>
      <x:c r="V169" t="n">
        <x:v>1</x:v>
      </x:c>
      <x:c r="W169" t="n">
        <x:v>0</x:v>
      </x:c>
    </x:row>
    <x:row r="170">
      <x:c r="J170" t="n">
        <x:v>168</x:v>
      </x:c>
      <x:c r="K170" t="str">
        <x:v>Get Shorty</x:v>
      </x:c>
      <x:c r="L170" t="n">
        <x:v>34992</x:v>
      </x:c>
      <x:c r="M170" t="n">
        <x:v>105</x:v>
      </x:c>
      <x:c r="N170" t="str">
        <x:v>Crime</x:v>
      </x:c>
      <x:c r="O170" t="str">
        <x:v>Barry Sonnenfeld</x:v>
      </x:c>
      <x:c r="P170" t="str">
        <x:v>Jersey Films</x:v>
      </x:c>
      <x:c r="Q170" t="str">
        <x:v>United States</x:v>
      </x:c>
      <x:c r="R170" t="str">
        <x:v>English</x:v>
      </x:c>
      <x:c r="S170" t="n">
        <x:v>15</x:v>
      </x:c>
      <x:c r="T170" t="n">
        <x:v>30250000</x:v>
      </x:c>
      <x:c r="U170" t="n">
        <x:v>115101622</x:v>
      </x:c>
      <x:c r="V170" t="n">
        <x:v>0</x:v>
      </x:c>
      <x:c r="W170" t="n">
        <x:v>0</x:v>
      </x:c>
    </x:row>
    <x:row r="171">
      <x:c r="J171" t="n">
        <x:v>169</x:v>
      </x:c>
      <x:c r="K171" t="str">
        <x:v>The Assassination of Jesse James by the Coward Robert Ford</x:v>
      </x:c>
      <x:c r="L171" t="n">
        <x:v>39346</x:v>
      </x:c>
      <x:c r="M171" t="n">
        <x:v>159</x:v>
      </x:c>
      <x:c r="N171" t="str">
        <x:v>Western</x:v>
      </x:c>
      <x:c r="O171" t="str">
        <x:v>Andrew Dominik</x:v>
      </x:c>
      <x:c r="P171" t="str">
        <x:v>Virtual Studios</x:v>
      </x:c>
      <x:c r="Q171" t="str">
        <x:v>United States</x:v>
      </x:c>
      <x:c r="R171" t="str">
        <x:v>English</x:v>
      </x:c>
      <x:c r="S171" t="n">
        <x:v>15</x:v>
      </x:c>
      <x:c r="T171" t="n">
        <x:v>30000000</x:v>
      </x:c>
      <x:c r="U171" t="n">
        <x:v>15000000</x:v>
      </x:c>
      <x:c r="V171" t="n">
        <x:v>2</x:v>
      </x:c>
      <x:c r="W171" t="n">
        <x:v>0</x:v>
      </x:c>
    </x:row>
    <x:row r="172">
      <x:c r="J172" t="n">
        <x:v>170</x:v>
      </x:c>
      <x:c r="K172" t="str">
        <x:v>Million Dollar Baby</x:v>
      </x:c>
      <x:c r="L172" t="n">
        <x:v>38366</x:v>
      </x:c>
      <x:c r="M172" t="n">
        <x:v>132</x:v>
      </x:c>
      <x:c r="N172" t="str">
        <x:v>Sport</x:v>
      </x:c>
      <x:c r="O172" t="str">
        <x:v>Clint Eastwood</x:v>
      </x:c>
      <x:c r="P172" t="str">
        <x:v>Lakeshore Entertainment</x:v>
      </x:c>
      <x:c r="Q172" t="str">
        <x:v>United States</x:v>
      </x:c>
      <x:c r="R172" t="str">
        <x:v>English</x:v>
      </x:c>
      <x:c r="S172" t="str">
        <x:v>12A</x:v>
      </x:c>
      <x:c r="T172" t="n">
        <x:v>30000000</x:v>
      </x:c>
      <x:c r="U172" t="n">
        <x:v>216800000</x:v>
      </x:c>
      <x:c r="V172" t="n">
        <x:v>7</x:v>
      </x:c>
      <x:c r="W172" t="n">
        <x:v>4</x:v>
      </x:c>
    </x:row>
    <x:row r="173">
      <x:c r="J173" t="n">
        <x:v>171</x:v>
      </x:c>
      <x:c r="K173" t="str">
        <x:v>Seven</x:v>
      </x:c>
      <x:c r="L173" t="n">
        <x:v>34964</x:v>
      </x:c>
      <x:c r="M173" t="n">
        <x:v>127</x:v>
      </x:c>
      <x:c r="N173" t="str">
        <x:v>Thriller</x:v>
      </x:c>
      <x:c r="O173" t="str">
        <x:v>David Fincher</x:v>
      </x:c>
      <x:c r="P173" t="str">
        <x:v>New Line Cinema</x:v>
      </x:c>
      <x:c r="Q173" t="str">
        <x:v>United States</x:v>
      </x:c>
      <x:c r="R173" t="str">
        <x:v>English</x:v>
      </x:c>
      <x:c r="S173" t="n">
        <x:v>18</x:v>
      </x:c>
      <x:c r="T173" t="n">
        <x:v>33000000</x:v>
      </x:c>
      <x:c r="U173" t="n">
        <x:v>327300000</x:v>
      </x:c>
      <x:c r="V173" t="n">
        <x:v>1</x:v>
      </x:c>
      <x:c r="W173" t="n">
        <x:v>0</x:v>
      </x:c>
    </x:row>
    <x:row r="174">
      <x:c r="J174" t="n">
        <x:v>172</x:v>
      </x:c>
      <x:c r="K174" t="str">
        <x:v>The Hunt For Red October</x:v>
      </x:c>
      <x:c r="L174" t="n">
        <x:v>32934</x:v>
      </x:c>
      <x:c r="M174" t="n">
        <x:v>134</x:v>
      </x:c>
      <x:c r="N174" t="str">
        <x:v>Thriller</x:v>
      </x:c>
      <x:c r="O174" t="str">
        <x:v>John McTiernan</x:v>
      </x:c>
      <x:c r="P174" t="str">
        <x:v>Mace Neufeld Productions</x:v>
      </x:c>
      <x:c r="Q174" t="str">
        <x:v>United States</x:v>
      </x:c>
      <x:c r="R174" t="str">
        <x:v>English</x:v>
      </x:c>
      <x:c r="S174" t="str">
        <x:v>PG</x:v>
      </x:c>
      <x:c r="T174" t="n">
        <x:v>30000000</x:v>
      </x:c>
      <x:c r="U174" t="n">
        <x:v>200512643</x:v>
      </x:c>
      <x:c r="V174" t="n">
        <x:v>3</x:v>
      </x:c>
      <x:c r="W174" t="n">
        <x:v>1</x:v>
      </x:c>
    </x:row>
    <x:row r="175">
      <x:c r="J175" t="n">
        <x:v>173</x:v>
      </x:c>
      <x:c r="K175" t="str">
        <x:v>Ghostbusters</x:v>
      </x:c>
      <x:c r="L175" t="n">
        <x:v>30840</x:v>
      </x:c>
      <x:c r="M175" t="n">
        <x:v>107</x:v>
      </x:c>
      <x:c r="N175" t="str">
        <x:v>Comedy</x:v>
      </x:c>
      <x:c r="O175" t="str">
        <x:v>Ivan Reitman</x:v>
      </x:c>
      <x:c r="P175" t="str">
        <x:v>Black Rhino</x:v>
      </x:c>
      <x:c r="Q175" t="str">
        <x:v>United States</x:v>
      </x:c>
      <x:c r="R175" t="str">
        <x:v>English</x:v>
      </x:c>
      <x:c r="S175" t="str">
        <x:v>PG</x:v>
      </x:c>
      <x:c r="T175" t="n">
        <x:v>30000000</x:v>
      </x:c>
      <x:c r="U175" t="n">
        <x:v>295200000</x:v>
      </x:c>
      <x:c r="V175" t="n">
        <x:v>2</x:v>
      </x:c>
      <x:c r="W175" t="n">
        <x:v>0</x:v>
      </x:c>
    </x:row>
    <x:row r="176">
      <x:c r="J176" t="n">
        <x:v>174</x:v>
      </x:c>
      <x:c r="K176" t="str">
        <x:v>Star Trek V: The Final Frontier</x:v>
      </x:c>
      <x:c r="L176" t="n">
        <x:v>32668</x:v>
      </x:c>
      <x:c r="M176" t="n">
        <x:v>106</x:v>
      </x:c>
      <x:c r="N176" t="str">
        <x:v>Science Fiction</x:v>
      </x:c>
      <x:c r="O176" t="str">
        <x:v>William Shatner</x:v>
      </x:c>
      <x:c r="P176" t="str">
        <x:v>Paramount Pictures</x:v>
      </x:c>
      <x:c r="Q176" t="str">
        <x:v>United States</x:v>
      </x:c>
      <x:c r="R176" t="str">
        <x:v>English</x:v>
      </x:c>
      <x:c r="S176" t="str">
        <x:v>PG</x:v>
      </x:c>
      <x:c r="T176" t="n">
        <x:v>33000000</x:v>
      </x:c>
      <x:c r="U176" t="n">
        <x:v>63000000</x:v>
      </x:c>
      <x:c r="V176" t="n">
        <x:v>0</x:v>
      </x:c>
      <x:c r="W176" t="n">
        <x:v>0</x:v>
      </x:c>
    </x:row>
    <x:row r="177">
      <x:c r="J177" t="n">
        <x:v>175</x:v>
      </x:c>
      <x:c r="K177" t="str">
        <x:v>Indiana Jones and the Temple of Doom</x:v>
      </x:c>
      <x:c r="L177" t="n">
        <x:v>30825</x:v>
      </x:c>
      <x:c r="M177" t="n">
        <x:v>118</x:v>
      </x:c>
      <x:c r="N177" t="str">
        <x:v>Adventure</x:v>
      </x:c>
      <x:c r="O177" t="str">
        <x:v>Steven Spielberg</x:v>
      </x:c>
      <x:c r="P177" t="str">
        <x:v>Lucasfilm</x:v>
      </x:c>
      <x:c r="Q177" t="str">
        <x:v>United States</x:v>
      </x:c>
      <x:c r="R177" t="str">
        <x:v>English</x:v>
      </x:c>
      <x:c r="S177" t="n">
        <x:v>12</x:v>
      </x:c>
      <x:c r="T177" t="n">
        <x:v>28170000</x:v>
      </x:c>
      <x:c r="U177" t="n">
        <x:v>333107271</x:v>
      </x:c>
      <x:c r="V177" t="n">
        <x:v>2</x:v>
      </x:c>
      <x:c r="W177" t="n">
        <x:v>1</x:v>
      </x:c>
    </x:row>
    <x:row r="178">
      <x:c r="J178" t="n">
        <x:v>176</x:v>
      </x:c>
      <x:c r="K178" t="str">
        <x:v>Blade Runner</x:v>
      </x:c>
      <x:c r="L178" t="n">
        <x:v>30127</x:v>
      </x:c>
      <x:c r="M178" t="n">
        <x:v>116</x:v>
      </x:c>
      <x:c r="N178" t="str">
        <x:v>Science Fiction</x:v>
      </x:c>
      <x:c r="O178" t="str">
        <x:v>Ridley Scott</x:v>
      </x:c>
      <x:c r="P178" t="str">
        <x:v>The Ladd Company</x:v>
      </x:c>
      <x:c r="Q178" t="str">
        <x:v>United States</x:v>
      </x:c>
      <x:c r="R178" t="str">
        <x:v>English</x:v>
      </x:c>
      <x:c r="S178" t="n">
        <x:v>15</x:v>
      </x:c>
      <x:c r="T178" t="n">
        <x:v>28000000</x:v>
      </x:c>
      <x:c r="U178" t="n">
        <x:v>33800000</x:v>
      </x:c>
      <x:c r="V178" t="n">
        <x:v>2</x:v>
      </x:c>
      <x:c r="W178" t="n">
        <x:v>0</x:v>
      </x:c>
    </x:row>
    <x:row r="179">
      <x:c r="J179" t="n">
        <x:v>177</x:v>
      </x:c>
      <x:c r="K179" t="str">
        <x:v>Die Hard</x:v>
      </x:c>
      <x:c r="L179" t="n">
        <x:v>32339</x:v>
      </x:c>
      <x:c r="M179" t="n">
        <x:v>132</x:v>
      </x:c>
      <x:c r="N179" t="str">
        <x:v>Action</x:v>
      </x:c>
      <x:c r="O179" t="str">
        <x:v>John McTiernan</x:v>
      </x:c>
      <x:c r="P179" t="str">
        <x:v>Silver Pictures</x:v>
      </x:c>
      <x:c r="Q179" t="str">
        <x:v>United States</x:v>
      </x:c>
      <x:c r="R179" t="str">
        <x:v>English</x:v>
      </x:c>
      <x:c r="S179" t="n">
        <x:v>15</x:v>
      </x:c>
      <x:c r="T179" t="n">
        <x:v>28000000</x:v>
      </x:c>
      <x:c r="U179" t="n">
        <x:v>140700000</x:v>
      </x:c>
      <x:c r="V179" t="n">
        <x:v>4</x:v>
      </x:c>
      <x:c r="W179" t="n">
        <x:v>0</x:v>
      </x:c>
    </x:row>
    <x:row r="180">
      <x:c r="J180" t="n">
        <x:v>178</x:v>
      </x:c>
      <x:c r="K180" t="str">
        <x:v>For Your Eyes Only</x:v>
      </x:c>
      <x:c r="L180" t="n">
        <x:v>29761</x:v>
      </x:c>
      <x:c r="M180" t="n">
        <x:v>127</x:v>
      </x:c>
      <x:c r="N180" t="str">
        <x:v>Thriller</x:v>
      </x:c>
      <x:c r="O180" t="str">
        <x:v>John Glen</x:v>
      </x:c>
      <x:c r="P180" t="str">
        <x:v>Eon Productions</x:v>
      </x:c>
      <x:c r="Q180" t="str">
        <x:v>United Kingdom</x:v>
      </x:c>
      <x:c r="R180" t="str">
        <x:v>English</x:v>
      </x:c>
      <x:c r="S180" t="str">
        <x:v>PG</x:v>
      </x:c>
      <x:c r="T180" t="n">
        <x:v>28000000</x:v>
      </x:c>
      <x:c r="U180" t="n">
        <x:v>194900000</x:v>
      </x:c>
      <x:c r="V180" t="n">
        <x:v>1</x:v>
      </x:c>
      <x:c r="W180" t="n">
        <x:v>0</x:v>
      </x:c>
    </x:row>
    <x:row r="181">
      <x:c r="J181" t="n">
        <x:v>179</x:v>
      </x:c>
      <x:c r="K181" t="str">
        <x:v>Octopussy</x:v>
      </x:c>
      <x:c r="L181" t="n">
        <x:v>30473</x:v>
      </x:c>
      <x:c r="M181" t="n">
        <x:v>131</x:v>
      </x:c>
      <x:c r="N181" t="str">
        <x:v>Thriller</x:v>
      </x:c>
      <x:c r="O181" t="str">
        <x:v>John Glen</x:v>
      </x:c>
      <x:c r="P181" t="str">
        <x:v>Eon Productions</x:v>
      </x:c>
      <x:c r="Q181" t="str">
        <x:v>United States</x:v>
      </x:c>
      <x:c r="R181" t="str">
        <x:v>English</x:v>
      </x:c>
      <x:c r="S181" t="str">
        <x:v>PG</x:v>
      </x:c>
      <x:c r="T181" t="n">
        <x:v>27500000</x:v>
      </x:c>
      <x:c r="U181" t="n">
        <x:v>183700000</x:v>
      </x:c>
      <x:c r="V181" t="n">
        <x:v>0</x:v>
      </x:c>
      <x:c r="W181" t="n">
        <x:v>0</x:v>
      </x:c>
    </x:row>
    <x:row r="182">
      <x:c r="J182" t="n">
        <x:v>180</x:v>
      </x:c>
      <x:c r="K182" t="str">
        <x:v>Star Trek VI: The Undiscovered Country</x:v>
      </x:c>
      <x:c r="L182" t="n">
        <x:v>33578</x:v>
      </x:c>
      <x:c r="M182" t="n">
        <x:v>113</x:v>
      </x:c>
      <x:c r="N182" t="str">
        <x:v>Science Fiction</x:v>
      </x:c>
      <x:c r="O182" t="str">
        <x:v>Nicholas Meyer</x:v>
      </x:c>
      <x:c r="P182" t="str">
        <x:v>Paramount Pictures</x:v>
      </x:c>
      <x:c r="Q182" t="str">
        <x:v>United States</x:v>
      </x:c>
      <x:c r="R182" t="str">
        <x:v>English</x:v>
      </x:c>
      <x:c r="S182" t="str">
        <x:v>PG</x:v>
      </x:c>
      <x:c r="T182" t="n">
        <x:v>27000000</x:v>
      </x:c>
      <x:c r="U182" t="n">
        <x:v>96888996</x:v>
      </x:c>
      <x:c r="V182" t="n">
        <x:v>2</x:v>
      </x:c>
      <x:c r="W182" t="n">
        <x:v>0</x:v>
      </x:c>
    </x:row>
    <x:row r="183">
      <x:c r="J183" t="n">
        <x:v>181</x:v>
      </x:c>
      <x:c r="K183" t="str">
        <x:v>The Running Man</x:v>
      </x:c>
      <x:c r="L183" t="n">
        <x:v>32094</x:v>
      </x:c>
      <x:c r="M183" t="n">
        <x:v>101</x:v>
      </x:c>
      <x:c r="N183" t="str">
        <x:v>Science Fiction</x:v>
      </x:c>
      <x:c r="O183" t="str">
        <x:v>Paul Michael Glaser</x:v>
      </x:c>
      <x:c r="P183" t="str">
        <x:v>Republic Pictures</x:v>
      </x:c>
      <x:c r="Q183" t="str">
        <x:v>United States</x:v>
      </x:c>
      <x:c r="R183" t="str">
        <x:v>English</x:v>
      </x:c>
      <x:c r="S183" t="n">
        <x:v>18</x:v>
      </x:c>
      <x:c r="T183" t="n">
        <x:v>27000000</x:v>
      </x:c>
      <x:c r="U183" t="n">
        <x:v>38122105</x:v>
      </x:c>
      <x:c r="V183" t="n">
        <x:v>0</x:v>
      </x:c>
      <x:c r="W183" t="n">
        <x:v>0</x:v>
      </x:c>
    </x:row>
    <x:row r="184">
      <x:c r="J184" t="n">
        <x:v>182</x:v>
      </x:c>
      <x:c r="K184" t="str">
        <x:v>Open Range</x:v>
      </x:c>
      <x:c r="L184" t="n">
        <x:v>37848</x:v>
      </x:c>
      <x:c r="M184" t="n">
        <x:v>139</x:v>
      </x:c>
      <x:c r="N184" t="str">
        <x:v>Western</x:v>
      </x:c>
      <x:c r="O184" t="str">
        <x:v>Kevin Costner</x:v>
      </x:c>
      <x:c r="P184" t="str">
        <x:v>Touchstone Pictures</x:v>
      </x:c>
      <x:c r="Q184" t="str">
        <x:v>United States</x:v>
      </x:c>
      <x:c r="R184" t="str">
        <x:v>English</x:v>
      </x:c>
      <x:c r="S184" t="str">
        <x:v>12A</x:v>
      </x:c>
      <x:c r="T184" t="n">
        <x:v>22000000</x:v>
      </x:c>
      <x:c r="U184" t="n">
        <x:v>68296293</x:v>
      </x:c>
      <x:c r="V184" t="n">
        <x:v>0</x:v>
      </x:c>
      <x:c r="W184" t="n">
        <x:v>0</x:v>
      </x:c>
    </x:row>
    <x:row r="185">
      <x:c r="J185" t="n">
        <x:v>183</x:v>
      </x:c>
      <x:c r="K185" t="str">
        <x:v>Kindergarten Cop</x:v>
      </x:c>
      <x:c r="L185" t="n">
        <x:v>33270</x:v>
      </x:c>
      <x:c r="M185" t="n">
        <x:v>111</x:v>
      </x:c>
      <x:c r="N185" t="str">
        <x:v>Comedy</x:v>
      </x:c>
      <x:c r="O185" t="str">
        <x:v>Ivan Reitman</x:v>
      </x:c>
      <x:c r="P185" t="str">
        <x:v>Imagine Entertainment</x:v>
      </x:c>
      <x:c r="Q185" t="str">
        <x:v>United States</x:v>
      </x:c>
      <x:c r="R185" t="str">
        <x:v>English</x:v>
      </x:c>
      <x:c r="S185" t="n">
        <x:v>15</x:v>
      </x:c>
      <x:c r="T185" t="n">
        <x:v>15000000</x:v>
      </x:c>
      <x:c r="U185" t="n">
        <x:v>201957688</x:v>
      </x:c>
      <x:c r="V185" t="n">
        <x:v>0</x:v>
      </x:c>
      <x:c r="W185" t="n">
        <x:v>0</x:v>
      </x:c>
    </x:row>
    <x:row r="186">
      <x:c r="J186" t="n">
        <x:v>184</x:v>
      </x:c>
      <x:c r="K186" t="str">
        <x:v>O Brother, Where Art Thou?</x:v>
      </x:c>
      <x:c r="L186" t="n">
        <x:v>36784</x:v>
      </x:c>
      <x:c r="M186" t="n">
        <x:v>107</x:v>
      </x:c>
      <x:c r="N186" t="str">
        <x:v>Comedy</x:v>
      </x:c>
      <x:c r="O186" t="str">
        <x:v>Joel Coen</x:v>
      </x:c>
      <x:c r="P186" t="str">
        <x:v>Touchstone Pictures</x:v>
      </x:c>
      <x:c r="Q186" t="str">
        <x:v>United States</x:v>
      </x:c>
      <x:c r="R186" t="str">
        <x:v>English</x:v>
      </x:c>
      <x:c r="S186" t="n">
        <x:v>12</x:v>
      </x:c>
      <x:c r="T186" t="n">
        <x:v>26000000</x:v>
      </x:c>
      <x:c r="U186" t="n">
        <x:v>71900000</x:v>
      </x:c>
      <x:c r="V186" t="n">
        <x:v>2</x:v>
      </x:c>
      <x:c r="W186" t="n">
        <x:v>0</x:v>
      </x:c>
    </x:row>
    <x:row r="187">
      <x:c r="J187" t="n">
        <x:v>185</x:v>
      </x:c>
      <x:c r="K187" t="str">
        <x:v>Goodfellas</x:v>
      </x:c>
      <x:c r="L187" t="n">
        <x:v>33135</x:v>
      </x:c>
      <x:c r="M187" t="n">
        <x:v>146</x:v>
      </x:c>
      <x:c r="N187" t="str">
        <x:v>Crime</x:v>
      </x:c>
      <x:c r="O187" t="str">
        <x:v>Martin Scorsese</x:v>
      </x:c>
      <x:c r="P187" t="str">
        <x:v>Warner Bros. Pictures</x:v>
      </x:c>
      <x:c r="Q187" t="str">
        <x:v>United States</x:v>
      </x:c>
      <x:c r="R187" t="str">
        <x:v>English</x:v>
      </x:c>
      <x:c r="S187" t="n">
        <x:v>18</x:v>
      </x:c>
      <x:c r="T187" t="n">
        <x:v>25000000</x:v>
      </x:c>
      <x:c r="U187" t="n">
        <x:v>46800000</x:v>
      </x:c>
      <x:c r="V187" t="n">
        <x:v>6</x:v>
      </x:c>
      <x:c r="W187" t="n">
        <x:v>1</x:v>
      </x:c>
    </x:row>
    <x:row r="188">
      <x:c r="J188" t="n">
        <x:v>186</x:v>
      </x:c>
      <x:c r="K188" t="str">
        <x:v>The Passion of the Christ</x:v>
      </x:c>
      <x:c r="L188" t="n">
        <x:v>38072</x:v>
      </x:c>
      <x:c r="M188" t="n">
        <x:v>126</x:v>
      </x:c>
      <x:c r="N188" t="str">
        <x:v>Drama</x:v>
      </x:c>
      <x:c r="O188" t="str">
        <x:v>Mel Gibson</x:v>
      </x:c>
      <x:c r="P188" t="str">
        <x:v>Icon Productions</x:v>
      </x:c>
      <x:c r="Q188" t="str">
        <x:v>United States</x:v>
      </x:c>
      <x:c r="R188" t="str">
        <x:v>Aramaic</x:v>
      </x:c>
      <x:c r="S188" t="n">
        <x:v>18</x:v>
      </x:c>
      <x:c r="T188" t="n">
        <x:v>30000000</x:v>
      </x:c>
      <x:c r="U188" t="n">
        <x:v>611900000</x:v>
      </x:c>
      <x:c r="V188" t="n">
        <x:v>3</x:v>
      </x:c>
      <x:c r="W188" t="n">
        <x:v>0</x:v>
      </x:c>
    </x:row>
    <x:row r="189">
      <x:c r="J189" t="n">
        <x:v>187</x:v>
      </x:c>
      <x:c r="K189" t="str">
        <x:v>The Untouchables</x:v>
      </x:c>
      <x:c r="L189" t="n">
        <x:v>31931</x:v>
      </x:c>
      <x:c r="M189" t="n">
        <x:v>119</x:v>
      </x:c>
      <x:c r="N189" t="str">
        <x:v>Crime</x:v>
      </x:c>
      <x:c r="O189" t="str">
        <x:v>Brian De Palma</x:v>
      </x:c>
      <x:c r="P189" t="str">
        <x:v>Paramount Pictures</x:v>
      </x:c>
      <x:c r="Q189" t="str">
        <x:v>United States</x:v>
      </x:c>
      <x:c r="R189" t="str">
        <x:v>English</x:v>
      </x:c>
      <x:c r="S189" t="n">
        <x:v>15</x:v>
      </x:c>
      <x:c r="T189" t="n">
        <x:v>25000000</x:v>
      </x:c>
      <x:c r="U189" t="n">
        <x:v>106240936</x:v>
      </x:c>
      <x:c r="V189" t="n">
        <x:v>4</x:v>
      </x:c>
      <x:c r="W189" t="n">
        <x:v>1</x:v>
      </x:c>
    </x:row>
    <x:row r="190">
      <x:c r="J190" t="n">
        <x:v>188</x:v>
      </x:c>
      <x:c r="K190" t="str">
        <x:v>Schindler's List</x:v>
      </x:c>
      <x:c r="L190" t="n">
        <x:v>34318</x:v>
      </x:c>
      <x:c r="M190" t="n">
        <x:v>197</x:v>
      </x:c>
      <x:c r="N190" t="str">
        <x:v>History</x:v>
      </x:c>
      <x:c r="O190" t="str">
        <x:v>Steven Spielberg</x:v>
      </x:c>
      <x:c r="P190" t="str">
        <x:v>Amblin Entertainment</x:v>
      </x:c>
      <x:c r="Q190" t="str">
        <x:v>United States</x:v>
      </x:c>
      <x:c r="R190" t="str">
        <x:v>English</x:v>
      </x:c>
      <x:c r="S190" t="n">
        <x:v>15</x:v>
      </x:c>
      <x:c r="T190" t="n">
        <x:v>22000000</x:v>
      </x:c>
      <x:c r="U190" t="n">
        <x:v>321200000</x:v>
      </x:c>
      <x:c r="V190" t="n">
        <x:v>12</x:v>
      </x:c>
      <x:c r="W190" t="n">
        <x:v>7</x:v>
      </x:c>
    </x:row>
    <x:row r="191">
      <x:c r="J191" t="n">
        <x:v>189</x:v>
      </x:c>
      <x:c r="K191" t="str">
        <x:v>Anchorman: The Legend of Ron Burgundy</x:v>
      </x:c>
      <x:c r="L191" t="n">
        <x:v>38240</x:v>
      </x:c>
      <x:c r="M191" t="n">
        <x:v>95</x:v>
      </x:c>
      <x:c r="N191" t="str">
        <x:v>Comedy</x:v>
      </x:c>
      <x:c r="O191" t="str">
        <x:v>Adam McKay</x:v>
      </x:c>
      <x:c r="P191" t="str">
        <x:v>Apatow Productions</x:v>
      </x:c>
      <x:c r="Q191" t="str">
        <x:v>United States</x:v>
      </x:c>
      <x:c r="R191" t="str">
        <x:v>English</x:v>
      </x:c>
      <x:c r="S191" t="str">
        <x:v>12A</x:v>
      </x:c>
      <x:c r="T191" t="n">
        <x:v>26000000</x:v>
      </x:c>
      <x:c r="U191" t="n">
        <x:v>90600000</x:v>
      </x:c>
      <x:c r="V191" t="n">
        <x:v>0</x:v>
      </x:c>
      <x:c r="W191" t="n">
        <x:v>0</x:v>
      </x:c>
    </x:row>
    <x:row r="192">
      <x:c r="J192" t="n">
        <x:v>190</x:v>
      </x:c>
      <x:c r="K192" t="str">
        <x:v>Scarface</x:v>
      </x:c>
      <x:c r="L192" t="n">
        <x:v>30659</x:v>
      </x:c>
      <x:c r="M192" t="n">
        <x:v>170</x:v>
      </x:c>
      <x:c r="N192" t="str">
        <x:v>Crime</x:v>
      </x:c>
      <x:c r="O192" t="str">
        <x:v>Brian De Palma</x:v>
      </x:c>
      <x:c r="P192" t="str">
        <x:v>Universal Pictures</x:v>
      </x:c>
      <x:c r="Q192" t="str">
        <x:v>United States</x:v>
      </x:c>
      <x:c r="R192" t="str">
        <x:v>English</x:v>
      </x:c>
      <x:c r="S192" t="n">
        <x:v>18</x:v>
      </x:c>
      <x:c r="T192" t="n">
        <x:v>25000000</x:v>
      </x:c>
      <x:c r="U192" t="n">
        <x:v>65900000</x:v>
      </x:c>
      <x:c r="V192" t="n">
        <x:v>0</x:v>
      </x:c>
      <x:c r="W192" t="n">
        <x:v>0</x:v>
      </x:c>
    </x:row>
    <x:row r="193">
      <x:c r="J193" t="n">
        <x:v>191</x:v>
      </x:c>
      <x:c r="K193" t="str">
        <x:v>Star Trek IV: The Voyage Home</x:v>
      </x:c>
      <x:c r="L193" t="n">
        <x:v>31742</x:v>
      </x:c>
      <x:c r="M193" t="n">
        <x:v>122</x:v>
      </x:c>
      <x:c r="N193" t="str">
        <x:v>Science Fiction</x:v>
      </x:c>
      <x:c r="O193" t="str">
        <x:v>Leonard Nimoy</x:v>
      </x:c>
      <x:c r="P193" t="str">
        <x:v>Paramount Pictures</x:v>
      </x:c>
      <x:c r="Q193" t="str">
        <x:v>United States</x:v>
      </x:c>
      <x:c r="R193" t="str">
        <x:v>English</x:v>
      </x:c>
      <x:c r="S193" t="str">
        <x:v>PG</x:v>
      </x:c>
      <x:c r="T193" t="n">
        <x:v>21000000</x:v>
      </x:c>
      <x:c r="U193" t="n">
        <x:v>133000000</x:v>
      </x:c>
      <x:c r="V193" t="n">
        <x:v>4</x:v>
      </x:c>
      <x:c r="W193" t="n">
        <x:v>0</x:v>
      </x:c>
    </x:row>
    <x:row r="194">
      <x:c r="J194" t="n">
        <x:v>192</x:v>
      </x:c>
      <x:c r="K194" t="str">
        <x:v>King Kong</x:v>
      </x:c>
      <x:c r="L194" t="n">
        <x:v>28111</x:v>
      </x:c>
      <x:c r="M194" t="n">
        <x:v>134</x:v>
      </x:c>
      <x:c r="N194" t="str">
        <x:v>Adventure</x:v>
      </x:c>
      <x:c r="O194" t="str">
        <x:v>John Guillermin</x:v>
      </x:c>
      <x:c r="P194" t="str">
        <x:v>Dino De Laurentiis Corporation</x:v>
      </x:c>
      <x:c r="Q194" t="str">
        <x:v>United States</x:v>
      </x:c>
      <x:c r="R194" t="str">
        <x:v>English</x:v>
      </x:c>
      <x:c r="S194" t="str">
        <x:v>PG</x:v>
      </x:c>
      <x:c r="T194" t="n">
        <x:v>24000000</x:v>
      </x:c>
      <x:c r="U194" t="n">
        <x:v>90614445</x:v>
      </x:c>
      <x:c r="V194" t="n">
        <x:v>2</x:v>
      </x:c>
      <x:c r="W194" t="n">
        <x:v>0</x:v>
      </x:c>
    </x:row>
    <x:row r="195">
      <x:c r="J195" t="n">
        <x:v>193</x:v>
      </x:c>
      <x:c r="K195" t="str">
        <x:v>Star Wars: Episode V - The Empire Strikes Back</x:v>
      </x:c>
      <x:c r="L195" t="n">
        <x:v>29362</x:v>
      </x:c>
      <x:c r="M195" t="n">
        <x:v>124</x:v>
      </x:c>
      <x:c r="N195" t="str">
        <x:v>Science Fiction</x:v>
      </x:c>
      <x:c r="O195" t="str">
        <x:v>Irvin Kershner</x:v>
      </x:c>
      <x:c r="P195" t="str">
        <x:v>Lucasfilm</x:v>
      </x:c>
      <x:c r="Q195" t="str">
        <x:v>United States</x:v>
      </x:c>
      <x:c r="R195" t="str">
        <x:v>English</x:v>
      </x:c>
      <x:c r="S195" t="str">
        <x:v>U</x:v>
      </x:c>
      <x:c r="T195" t="n">
        <x:v>33000000</x:v>
      </x:c>
      <x:c r="U195" t="n">
        <x:v>538400000</x:v>
      </x:c>
      <x:c r="V195" t="n">
        <x:v>4</x:v>
      </x:c>
      <x:c r="W195" t="n">
        <x:v>2</x:v>
      </x:c>
    </x:row>
    <x:row r="196">
      <x:c r="J196" t="n">
        <x:v>194</x:v>
      </x:c>
      <x:c r="K196" t="str">
        <x:v>Gandhi</x:v>
      </x:c>
      <x:c r="L196" t="n">
        <x:v>30287</x:v>
      </x:c>
      <x:c r="M196" t="n">
        <x:v>188</x:v>
      </x:c>
      <x:c r="N196" t="str">
        <x:v>Biography</x:v>
      </x:c>
      <x:c r="O196" t="str">
        <x:v>Richard Attenborough</x:v>
      </x:c>
      <x:c r="P196" t="str">
        <x:v>Goldcrest Films</x:v>
      </x:c>
      <x:c r="Q196" t="str">
        <x:v>United Kingdom</x:v>
      </x:c>
      <x:c r="R196" t="str">
        <x:v>English</x:v>
      </x:c>
      <x:c r="S196" t="str">
        <x:v>PG</x:v>
      </x:c>
      <x:c r="T196" t="n">
        <x:v>22000000</x:v>
      </x:c>
      <x:c r="U196" t="n">
        <x:v>52767889</x:v>
      </x:c>
      <x:c r="V196" t="n">
        <x:v>11</x:v>
      </x:c>
      <x:c r="W196" t="n">
        <x:v>8</x:v>
      </x:c>
    </x:row>
    <x:row r="197">
      <x:c r="J197" t="n">
        <x:v>195</x:v>
      </x:c>
      <x:c r="K197" t="str">
        <x:v>Equilibrium</x:v>
      </x:c>
      <x:c r="L197" t="n">
        <x:v>37596</x:v>
      </x:c>
      <x:c r="M197" t="n">
        <x:v>107</x:v>
      </x:c>
      <x:c r="N197" t="str">
        <x:v>Science Fiction</x:v>
      </x:c>
      <x:c r="O197" t="str">
        <x:v>Kurt Wimmer</x:v>
      </x:c>
      <x:c r="P197" t="str">
        <x:v>Dimension Films</x:v>
      </x:c>
      <x:c r="Q197" t="str">
        <x:v>United States</x:v>
      </x:c>
      <x:c r="R197" t="str">
        <x:v>English</x:v>
      </x:c>
      <x:c r="S197" t="n">
        <x:v>15</x:v>
      </x:c>
      <x:c r="T197" t="n">
        <x:v>20000000</x:v>
      </x:c>
      <x:c r="U197" t="n">
        <x:v>5345000</x:v>
      </x:c>
      <x:c r="V197" t="n">
        <x:v>0</x:v>
      </x:c>
      <x:c r="W197" t="n">
        <x:v>0</x:v>
      </x:c>
    </x:row>
    <x:row r="198">
      <x:c r="J198" t="n">
        <x:v>196</x:v>
      </x:c>
      <x:c r="K198" t="str">
        <x:v>From Dusk Till Dawn</x:v>
      </x:c>
      <x:c r="L198" t="n">
        <x:v>35083</x:v>
      </x:c>
      <x:c r="M198" t="n">
        <x:v>108</x:v>
      </x:c>
      <x:c r="N198" t="str">
        <x:v>Horror</x:v>
      </x:c>
      <x:c r="O198" t="str">
        <x:v>Robert Rodriguez</x:v>
      </x:c>
      <x:c r="P198" t="str">
        <x:v>Dimension Films</x:v>
      </x:c>
      <x:c r="Q198" t="str">
        <x:v>United States</x:v>
      </x:c>
      <x:c r="R198" t="str">
        <x:v>English</x:v>
      </x:c>
      <x:c r="S198" t="n">
        <x:v>18</x:v>
      </x:c>
      <x:c r="T198" t="n">
        <x:v>20000000</x:v>
      </x:c>
      <x:c r="U198" t="n">
        <x:v>25728961</x:v>
      </x:c>
      <x:c r="V198" t="n">
        <x:v>0</x:v>
      </x:c>
      <x:c r="W198" t="n">
        <x:v>0</x:v>
      </x:c>
    </x:row>
    <x:row r="199">
      <x:c r="J199" t="n">
        <x:v>197</x:v>
      </x:c>
      <x:c r="K199" t="str">
        <x:v>Raiders of the Lost Ark</x:v>
      </x:c>
      <x:c r="L199" t="n">
        <x:v>29749</x:v>
      </x:c>
      <x:c r="M199" t="n">
        <x:v>115</x:v>
      </x:c>
      <x:c r="N199" t="str">
        <x:v>Adventure</x:v>
      </x:c>
      <x:c r="O199" t="str">
        <x:v>Steven Spielberg</x:v>
      </x:c>
      <x:c r="P199" t="str">
        <x:v>Lucasfilm</x:v>
      </x:c>
      <x:c r="Q199" t="str">
        <x:v>United States</x:v>
      </x:c>
      <x:c r="R199" t="str">
        <x:v>English</x:v>
      </x:c>
      <x:c r="S199" t="str">
        <x:v>PG</x:v>
      </x:c>
      <x:c r="T199" t="n">
        <x:v>18000000</x:v>
      </x:c>
      <x:c r="U199" t="n">
        <x:v>389900000</x:v>
      </x:c>
      <x:c r="V199" t="n">
        <x:v>9</x:v>
      </x:c>
      <x:c r="W199" t="n">
        <x:v>5</x:v>
      </x:c>
    </x:row>
    <x:row r="200">
      <x:c r="J200" t="n">
        <x:v>199</x:v>
      </x:c>
      <x:c r="K200" t="str">
        <x:v>Back to the Future</x:v>
      </x:c>
      <x:c r="L200" t="n">
        <x:v>31231</x:v>
      </x:c>
      <x:c r="M200" t="n">
        <x:v>116</x:v>
      </x:c>
      <x:c r="N200" t="str">
        <x:v>Science Fiction</x:v>
      </x:c>
      <x:c r="O200" t="str">
        <x:v>Robert Zemeckis</x:v>
      </x:c>
      <x:c r="P200" t="str">
        <x:v>Amblin Entertainment</x:v>
      </x:c>
      <x:c r="Q200" t="str">
        <x:v>United States</x:v>
      </x:c>
      <x:c r="R200" t="str">
        <x:v>English</x:v>
      </x:c>
      <x:c r="S200" t="str">
        <x:v>PG</x:v>
      </x:c>
      <x:c r="T200" t="n">
        <x:v>19000000</x:v>
      </x:c>
      <x:c r="U200" t="n">
        <x:v>392000000</x:v>
      </x:c>
      <x:c r="V200" t="n">
        <x:v>4</x:v>
      </x:c>
      <x:c r="W200" t="n">
        <x:v>1</x:v>
      </x:c>
    </x:row>
    <x:row r="201">
      <x:c r="J201" t="n">
        <x:v>200</x:v>
      </x:c>
      <x:c r="K201" t="str">
        <x:v>Dances with Wolves</x:v>
      </x:c>
      <x:c r="L201" t="n">
        <x:v>33165</x:v>
      </x:c>
      <x:c r="M201" t="n">
        <x:v>180</x:v>
      </x:c>
      <x:c r="N201" t="str">
        <x:v>Western</x:v>
      </x:c>
      <x:c r="O201" t="str">
        <x:v>Kevin Costner</x:v>
      </x:c>
      <x:c r="P201" t="str">
        <x:v>Tig Productions</x:v>
      </x:c>
      <x:c r="Q201" t="str">
        <x:v>United States</x:v>
      </x:c>
      <x:c r="R201" t="str">
        <x:v>English</x:v>
      </x:c>
      <x:c r="S201" t="n">
        <x:v>15</x:v>
      </x:c>
      <x:c r="T201" t="n">
        <x:v>2000000</x:v>
      </x:c>
      <x:c r="U201" t="n">
        <x:v>424208848</x:v>
      </x:c>
      <x:c r="V201" t="n">
        <x:v>12</x:v>
      </x:c>
      <x:c r="W201" t="n">
        <x:v>7</x:v>
      </x:c>
    </x:row>
    <x:row r="202">
      <x:c r="J202" t="n">
        <x:v>201</x:v>
      </x:c>
      <x:c r="K202" t="str">
        <x:v>Star Trek III: The Search For Spock</x:v>
      </x:c>
      <x:c r="L202" t="n">
        <x:v>30834</x:v>
      </x:c>
      <x:c r="M202" t="n">
        <x:v>105</x:v>
      </x:c>
      <x:c r="N202" t="str">
        <x:v>Science Fiction</x:v>
      </x:c>
      <x:c r="O202" t="str">
        <x:v>Leonard Nimoy</x:v>
      </x:c>
      <x:c r="P202" t="str">
        <x:v>Paramount Pictures</x:v>
      </x:c>
      <x:c r="Q202" t="str">
        <x:v>United States</x:v>
      </x:c>
      <x:c r="R202" t="str">
        <x:v>English</x:v>
      </x:c>
      <x:c r="S202" t="str">
        <x:v>PG</x:v>
      </x:c>
      <x:c r="T202" t="n">
        <x:v>16000000</x:v>
      </x:c>
      <x:c r="U202" t="n">
        <x:v>87000000</x:v>
      </x:c>
      <x:c r="V202" t="n">
        <x:v>0</x:v>
      </x:c>
      <x:c r="W202" t="n">
        <x:v>0</x:v>
      </x:c>
    </x:row>
    <x:row r="203">
      <x:c r="J203" t="n">
        <x:v>202</x:v>
      </x:c>
      <x:c r="K203" t="str">
        <x:v>Borat: Cultural Learnings of America for Make Benefit Glorious Nation of Kazakhstan</x:v>
      </x:c>
      <x:c r="L203" t="n">
        <x:v>39023</x:v>
      </x:c>
      <x:c r="M203" t="n">
        <x:v>84</x:v>
      </x:c>
      <x:c r="N203" t="str">
        <x:v>Comedy</x:v>
      </x:c>
      <x:c r="O203" t="str">
        <x:v>Larry Charles</x:v>
      </x:c>
      <x:c r="P203" t="str">
        <x:v>Dune Entertainment</x:v>
      </x:c>
      <x:c r="Q203" t="str">
        <x:v>United Kingdom</x:v>
      </x:c>
      <x:c r="R203" t="str">
        <x:v>English</x:v>
      </x:c>
      <x:c r="S203" t="n">
        <x:v>15</x:v>
      </x:c>
      <x:c r="T203" t="n">
        <x:v>18000000</x:v>
      </x:c>
      <x:c r="U203" t="n">
        <x:v>261600000</x:v>
      </x:c>
      <x:c r="V203" t="n">
        <x:v>1</x:v>
      </x:c>
      <x:c r="W203" t="n">
        <x:v>0</x:v>
      </x:c>
    </x:row>
    <x:row r="204">
      <x:c r="J204" t="n">
        <x:v>203</x:v>
      </x:c>
      <x:c r="K204" t="str">
        <x:v>Raging Bull</x:v>
      </x:c>
      <x:c r="L204" t="n">
        <x:v>29539</x:v>
      </x:c>
      <x:c r="M204" t="n">
        <x:v>129</x:v>
      </x:c>
      <x:c r="N204" t="str">
        <x:v>Sport</x:v>
      </x:c>
      <x:c r="O204" t="str">
        <x:v>Martin Scorsese</x:v>
      </x:c>
      <x:c r="P204" t="str">
        <x:v>United Artists</x:v>
      </x:c>
      <x:c r="Q204" t="str">
        <x:v>United States</x:v>
      </x:c>
      <x:c r="R204" t="str">
        <x:v>English</x:v>
      </x:c>
      <x:c r="S204" t="n">
        <x:v>18</x:v>
      </x:c>
      <x:c r="T204" t="n">
        <x:v>18000000</x:v>
      </x:c>
      <x:c r="U204" t="n">
        <x:v>23400000</x:v>
      </x:c>
      <x:c r="V204" t="n">
        <x:v>8</x:v>
      </x:c>
      <x:c r="W204" t="n">
        <x:v>2</x:v>
      </x:c>
    </x:row>
    <x:row r="205">
      <x:c r="J205" t="n">
        <x:v>204</x:v>
      </x:c>
      <x:c r="K205" t="str">
        <x:v>Aliens</x:v>
      </x:c>
      <x:c r="L205" t="n">
        <x:v>31611</x:v>
      </x:c>
      <x:c r="M205" t="n">
        <x:v>137</x:v>
      </x:c>
      <x:c r="N205" t="str">
        <x:v>Science Fiction</x:v>
      </x:c>
      <x:c r="O205" t="str">
        <x:v>James Cameron</x:v>
      </x:c>
      <x:c r="P205" t="str">
        <x:v>Brandywine Productions</x:v>
      </x:c>
      <x:c r="Q205" t="str">
        <x:v>United States</x:v>
      </x:c>
      <x:c r="R205" t="str">
        <x:v>English</x:v>
      </x:c>
      <x:c r="S205" t="n">
        <x:v>18</x:v>
      </x:c>
      <x:c r="T205" t="n">
        <x:v>18000000</x:v>
      </x:c>
      <x:c r="U205" t="n">
        <x:v>183300000</x:v>
      </x:c>
      <x:c r="V205" t="n">
        <x:v>7</x:v>
      </x:c>
      <x:c r="W205" t="n">
        <x:v>2</x:v>
      </x:c>
    </x:row>
    <x:row r="206">
      <x:c r="J206" t="n">
        <x:v>205</x:v>
      </x:c>
      <x:c r="K206" t="str">
        <x:v>Hero</x:v>
      </x:c>
      <x:c r="L206" t="n">
        <x:v>37553</x:v>
      </x:c>
      <x:c r="M206" t="n">
        <x:v>99</x:v>
      </x:c>
      <x:c r="N206" t="str">
        <x:v>Martial Arts</x:v>
      </x:c>
      <x:c r="O206" t="str">
        <x:v>Zhang Yimou</x:v>
      </x:c>
      <x:c r="P206" t="str">
        <x:v>Beijing New Picture Film Co.</x:v>
      </x:c>
      <x:c r="Q206" t="str">
        <x:v>China</x:v>
      </x:c>
      <x:c r="R206" t="str">
        <x:v>Mandarin</x:v>
      </x:c>
      <x:c r="S206" t="str">
        <x:v>12A</x:v>
      </x:c>
      <x:c r="T206" t="n">
        <x:v>31000000</x:v>
      </x:c>
      <x:c r="U206" t="n">
        <x:v>177394432</x:v>
      </x:c>
      <x:c r="V206" t="n">
        <x:v>1</x:v>
      </x:c>
      <x:c r="W206" t="n">
        <x:v>0</x:v>
      </x:c>
    </x:row>
    <x:row r="207">
      <x:c r="J207" t="n">
        <x:v>206</x:v>
      </x:c>
      <x:c r="K207" t="str">
        <x:v>Hot Fuzz</x:v>
      </x:c>
      <x:c r="L207" t="n">
        <x:v>39127</x:v>
      </x:c>
      <x:c r="M207" t="n">
        <x:v>121</x:v>
      </x:c>
      <x:c r="N207" t="str">
        <x:v>Comedy</x:v>
      </x:c>
      <x:c r="O207" t="str">
        <x:v>Edgar Wright</x:v>
      </x:c>
      <x:c r="P207" t="str">
        <x:v>Big Talk Productions</x:v>
      </x:c>
      <x:c r="Q207" t="str">
        <x:v>United Kingdom</x:v>
      </x:c>
      <x:c r="R207" t="str">
        <x:v>English</x:v>
      </x:c>
      <x:c r="S207" t="n">
        <x:v>15</x:v>
      </x:c>
      <x:c r="T207" t="n">
        <x:v>12000000</x:v>
      </x:c>
      <x:c r="U207" t="n">
        <x:v>80700000</x:v>
      </x:c>
      <x:c r="V207" t="n">
        <x:v>0</x:v>
      </x:c>
      <x:c r="W207" t="n">
        <x:v>0</x:v>
      </x:c>
    </x:row>
    <x:row r="208">
      <x:c r="J208" t="n">
        <x:v>207</x:v>
      </x:c>
      <x:c r="K208" t="str">
        <x:v>Leon</x:v>
      </x:c>
      <x:c r="L208" t="n">
        <x:v>34591</x:v>
      </x:c>
      <x:c r="M208" t="n">
        <x:v>110</x:v>
      </x:c>
      <x:c r="N208" t="str">
        <x:v>Thriller</x:v>
      </x:c>
      <x:c r="O208" t="str">
        <x:v>Luc Besson</x:v>
      </x:c>
      <x:c r="P208" t="str">
        <x:v>Gaumont</x:v>
      </x:c>
      <x:c r="Q208" t="str">
        <x:v>France</x:v>
      </x:c>
      <x:c r="R208" t="str">
        <x:v>English</x:v>
      </x:c>
      <x:c r="S208" t="n">
        <x:v>18</x:v>
      </x:c>
      <x:c r="T208" t="n">
        <x:v>16000000</x:v>
      </x:c>
      <x:c r="U208" t="n">
        <x:v>45284974</x:v>
      </x:c>
      <x:c r="V208" t="n">
        <x:v>0</x:v>
      </x:c>
      <x:c r="W208" t="n">
        <x:v>0</x:v>
      </x:c>
    </x:row>
    <x:row r="209">
      <x:c r="J209" t="n">
        <x:v>208</x:v>
      </x:c>
      <x:c r="K209" t="str">
        <x:v>High Plains Drifter</x:v>
      </x:c>
      <x:c r="L209" t="n">
        <x:v>26898</x:v>
      </x:c>
      <x:c r="M209" t="n">
        <x:v>105</x:v>
      </x:c>
      <x:c r="N209" t="str">
        <x:v>Western</x:v>
      </x:c>
      <x:c r="O209" t="str">
        <x:v>Clint Eastwood</x:v>
      </x:c>
      <x:c r="P209" t="str">
        <x:v>The Malpaso Company</x:v>
      </x:c>
      <x:c r="Q209" t="str">
        <x:v>United States</x:v>
      </x:c>
      <x:c r="R209" t="str">
        <x:v>English</x:v>
      </x:c>
      <x:c r="S209" t="n">
        <x:v>18</x:v>
      </x:c>
      <x:c r="T209" t="n">
        <x:v>5500000</x:v>
      </x:c>
      <x:c r="U209" t="n">
        <x:v>15700000</x:v>
      </x:c>
      <x:c r="V209" t="n">
        <x:v>0</x:v>
      </x:c>
      <x:c r="W209" t="n">
        <x:v>0</x:v>
      </x:c>
    </x:row>
    <x:row r="210">
      <x:c r="J210" t="n">
        <x:v>209</x:v>
      </x:c>
      <x:c r="K210" t="str">
        <x:v>Collateral</x:v>
      </x:c>
      <x:c r="L210" t="n">
        <x:v>38205</x:v>
      </x:c>
      <x:c r="M210" t="n">
        <x:v>120</x:v>
      </x:c>
      <x:c r="N210" t="str">
        <x:v>Thriller</x:v>
      </x:c>
      <x:c r="O210" t="str">
        <x:v>Michael Mann</x:v>
      </x:c>
      <x:c r="P210" t="str">
        <x:v>Paramount Pictures</x:v>
      </x:c>
      <x:c r="Q210" t="str">
        <x:v>United States</x:v>
      </x:c>
      <x:c r="R210" t="str">
        <x:v>English</x:v>
      </x:c>
      <x:c r="S210" t="n">
        <x:v>15</x:v>
      </x:c>
      <x:c r="T210" t="n">
        <x:v>65000000</x:v>
      </x:c>
      <x:c r="U210" t="n">
        <x:v>217800000</x:v>
      </x:c>
      <x:c r="V210" t="n">
        <x:v>2</x:v>
      </x:c>
      <x:c r="W210" t="n">
        <x:v>0</x:v>
      </x:c>
    </x:row>
    <x:row r="211">
      <x:c r="J211" t="n">
        <x:v>210</x:v>
      </x:c>
      <x:c r="K211" t="str">
        <x:v>American Beauty</x:v>
      </x:c>
      <x:c r="L211" t="n">
        <x:v>36411</x:v>
      </x:c>
      <x:c r="M211" t="n">
        <x:v>122</x:v>
      </x:c>
      <x:c r="N211" t="str">
        <x:v>Drama</x:v>
      </x:c>
      <x:c r="O211" t="str">
        <x:v>Sam Mendes</x:v>
      </x:c>
      <x:c r="P211" t="str">
        <x:v>Jinks/Cohen Company</x:v>
      </x:c>
      <x:c r="Q211" t="str">
        <x:v>United States</x:v>
      </x:c>
      <x:c r="R211" t="str">
        <x:v>English</x:v>
      </x:c>
      <x:c r="S211" t="n">
        <x:v>18</x:v>
      </x:c>
      <x:c r="T211" t="n">
        <x:v>15000000</x:v>
      </x:c>
      <x:c r="U211" t="n">
        <x:v>356296601</x:v>
      </x:c>
      <x:c r="V211" t="n">
        <x:v>8</x:v>
      </x:c>
      <x:c r="W211" t="n">
        <x:v>5</x:v>
      </x:c>
    </x:row>
    <x:row r="212">
      <x:c r="J212" t="n">
        <x:v>211</x:v>
      </x:c>
      <x:c r="K212" t="str">
        <x:v>Lethal Weapon</x:v>
      </x:c>
      <x:c r="L212" t="n">
        <x:v>31842</x:v>
      </x:c>
      <x:c r="M212" t="n">
        <x:v>110</x:v>
      </x:c>
      <x:c r="N212" t="str">
        <x:v>Action</x:v>
      </x:c>
      <x:c r="O212" t="str">
        <x:v>Richard Donner</x:v>
      </x:c>
      <x:c r="P212" t="str">
        <x:v>Silver Pictures</x:v>
      </x:c>
      <x:c r="Q212" t="str">
        <x:v>United States</x:v>
      </x:c>
      <x:c r="R212" t="str">
        <x:v>English</x:v>
      </x:c>
      <x:c r="S212" t="n">
        <x:v>18</x:v>
      </x:c>
      <x:c r="T212" t="n">
        <x:v>15000000</x:v>
      </x:c>
      <x:c r="U212" t="n">
        <x:v>120207127</x:v>
      </x:c>
      <x:c r="V212" t="n">
        <x:v>1</x:v>
      </x:c>
      <x:c r="W212" t="n">
        <x:v>0</x:v>
      </x:c>
    </x:row>
    <x:row r="213">
      <x:c r="J213" t="n">
        <x:v>212</x:v>
      </x:c>
      <x:c r="K213" t="str">
        <x:v>Lethal Weapon 2</x:v>
      </x:c>
      <x:c r="L213" t="n">
        <x:v>32696</x:v>
      </x:c>
      <x:c r="M213" t="n">
        <x:v>114</x:v>
      </x:c>
      <x:c r="N213" t="str">
        <x:v>Action</x:v>
      </x:c>
      <x:c r="O213" t="str">
        <x:v>Richard Donner</x:v>
      </x:c>
      <x:c r="P213" t="str">
        <x:v>Silver Pictures</x:v>
      </x:c>
      <x:c r="Q213" t="str">
        <x:v>United States</x:v>
      </x:c>
      <x:c r="R213" t="str">
        <x:v>English</x:v>
      </x:c>
      <x:c r="S213" t="n">
        <x:v>15</x:v>
      </x:c>
      <x:c r="T213" t="n">
        <x:v>25000000</x:v>
      </x:c>
      <x:c r="U213" t="n">
        <x:v>227853986</x:v>
      </x:c>
      <x:c r="V213" t="n">
        <x:v>1</x:v>
      </x:c>
      <x:c r="W213" t="n">
        <x:v>0</x:v>
      </x:c>
    </x:row>
    <x:row r="214">
      <x:c r="J214" t="n">
        <x:v>213</x:v>
      </x:c>
      <x:c r="K214" t="str">
        <x:v>Crouching Tiger, Hidden Dragon</x:v>
      </x:c>
      <x:c r="L214" t="n">
        <x:v>36713</x:v>
      </x:c>
      <x:c r="M214" t="n">
        <x:v>120</x:v>
      </x:c>
      <x:c r="N214" t="str">
        <x:v>Martial Arts</x:v>
      </x:c>
      <x:c r="O214" t="str">
        <x:v>Ang Lee</x:v>
      </x:c>
      <x:c r="P214" t="str">
        <x:v>EDKO Films</x:v>
      </x:c>
      <x:c r="Q214" t="str">
        <x:v>China</x:v>
      </x:c>
      <x:c r="R214" t="str">
        <x:v>Mandarin</x:v>
      </x:c>
      <x:c r="S214" t="n">
        <x:v>12</x:v>
      </x:c>
      <x:c r="T214" t="n">
        <x:v>17000000</x:v>
      </x:c>
      <x:c r="U214" t="n">
        <x:v>213525736</x:v>
      </x:c>
      <x:c r="V214" t="n">
        <x:v>10</x:v>
      </x:c>
      <x:c r="W214" t="n">
        <x:v>4</x:v>
      </x:c>
    </x:row>
    <x:row r="215">
      <x:c r="J215" t="n">
        <x:v>214</x:v>
      </x:c>
      <x:c r="K215" t="str">
        <x:v>Brokeback Mountain</x:v>
      </x:c>
      <x:c r="L215" t="n">
        <x:v>38695</x:v>
      </x:c>
      <x:c r="M215" t="n">
        <x:v>134</x:v>
      </x:c>
      <x:c r="N215" t="str">
        <x:v>Drama</x:v>
      </x:c>
      <x:c r="O215" t="str">
        <x:v>Ang Lee</x:v>
      </x:c>
      <x:c r="P215" t="str">
        <x:v>River Road Entertainment</x:v>
      </x:c>
      <x:c r="Q215" t="str">
        <x:v>United States</x:v>
      </x:c>
      <x:c r="R215" t="str">
        <x:v>English</x:v>
      </x:c>
      <x:c r="S215" t="n">
        <x:v>15</x:v>
      </x:c>
      <x:c r="T215" t="n">
        <x:v>14000000</x:v>
      </x:c>
      <x:c r="U215" t="n">
        <x:v>178000000</x:v>
      </x:c>
      <x:c r="V215" t="n">
        <x:v>8</x:v>
      </x:c>
      <x:c r="W215" t="n">
        <x:v>3</x:v>
      </x:c>
    </x:row>
    <x:row r="216">
      <x:c r="J216" t="n">
        <x:v>215</x:v>
      </x:c>
      <x:c r="K216" t="str">
        <x:v>Hulk</x:v>
      </x:c>
      <x:c r="L216" t="n">
        <x:v>37792</x:v>
      </x:c>
      <x:c r="M216" t="n">
        <x:v>138</x:v>
      </x:c>
      <x:c r="N216" t="str">
        <x:v>Action</x:v>
      </x:c>
      <x:c r="O216" t="str">
        <x:v>Ang Lee</x:v>
      </x:c>
      <x:c r="P216" t="str">
        <x:v>Universal Pictures</x:v>
      </x:c>
      <x:c r="Q216" t="str">
        <x:v>United States</x:v>
      </x:c>
      <x:c r="R216" t="str">
        <x:v>English</x:v>
      </x:c>
      <x:c r="S216" t="str">
        <x:v>12A</x:v>
      </x:c>
      <x:c r="T216" t="n">
        <x:v>137000000</x:v>
      </x:c>
      <x:c r="U216" t="n">
        <x:v>245300000</x:v>
      </x:c>
      <x:c r="V216" t="n">
        <x:v>0</x:v>
      </x:c>
      <x:c r="W216" t="n">
        <x:v>0</x:v>
      </x:c>
    </x:row>
    <x:row r="217">
      <x:c r="J217" t="n">
        <x:v>216</x:v>
      </x:c>
      <x:c r="K217" t="str">
        <x:v>Sense and Sensibility</x:v>
      </x:c>
      <x:c r="L217" t="n">
        <x:v>35046</x:v>
      </x:c>
      <x:c r="M217" t="n">
        <x:v>136</x:v>
      </x:c>
      <x:c r="N217" t="str">
        <x:v>Romance</x:v>
      </x:c>
      <x:c r="O217" t="str">
        <x:v>Ang Lee</x:v>
      </x:c>
      <x:c r="P217" t="str">
        <x:v>Columbia Pictures</x:v>
      </x:c>
      <x:c r="Q217" t="str">
        <x:v>United Kingdom</x:v>
      </x:c>
      <x:c r="R217" t="str">
        <x:v>English</x:v>
      </x:c>
      <x:c r="S217" t="str">
        <x:v>U</x:v>
      </x:c>
      <x:c r="T217" t="n">
        <x:v>16000000</x:v>
      </x:c>
      <x:c r="U217" t="n">
        <x:v>134993774</x:v>
      </x:c>
      <x:c r="V217" t="n">
        <x:v>7</x:v>
      </x:c>
      <x:c r="W217" t="n">
        <x:v>1</x:v>
      </x:c>
    </x:row>
    <x:row r="218">
      <x:c r="J218" t="n">
        <x:v>217</x:v>
      </x:c>
      <x:c r="K218" t="str">
        <x:v>Ride with the Devil</x:v>
      </x:c>
      <x:c r="L218" t="n">
        <x:v>36490</x:v>
      </x:c>
      <x:c r="M218" t="n">
        <x:v>138</x:v>
      </x:c>
      <x:c r="N218" t="str">
        <x:v>Western</x:v>
      </x:c>
      <x:c r="O218" t="str">
        <x:v>Ang Lee</x:v>
      </x:c>
      <x:c r="P218" t="str">
        <x:v>Universal Pictures</x:v>
      </x:c>
      <x:c r="Q218" t="str">
        <x:v>United States</x:v>
      </x:c>
      <x:c r="R218" t="str">
        <x:v>English</x:v>
      </x:c>
      <x:c r="S218" t="n">
        <x:v>15</x:v>
      </x:c>
      <x:c r="T218" t="n">
        <x:v>38000000</x:v>
      </x:c>
      <x:c r="U218" t="n">
        <x:v>635096</x:v>
      </x:c>
      <x:c r="V218" t="n">
        <x:v>0</x:v>
      </x:c>
      <x:c r="W218" t="n">
        <x:v>0</x:v>
      </x:c>
    </x:row>
    <x:row r="219">
      <x:c r="J219" t="n">
        <x:v>218</x:v>
      </x:c>
      <x:c r="K219" t="str">
        <x:v>Twins</x:v>
      </x:c>
      <x:c r="L219" t="n">
        <x:v>32486</x:v>
      </x:c>
      <x:c r="M219" t="n">
        <x:v>105</x:v>
      </x:c>
      <x:c r="N219" t="str">
        <x:v>Comedy</x:v>
      </x:c>
      <x:c r="O219" t="str">
        <x:v>Ivan Reitman</x:v>
      </x:c>
      <x:c r="P219" t="str">
        <x:v>Universal Pictures</x:v>
      </x:c>
      <x:c r="Q219" t="str">
        <x:v>United States</x:v>
      </x:c>
      <x:c r="R219" t="str">
        <x:v>English</x:v>
      </x:c>
      <x:c r="S219" t="str">
        <x:v>PG</x:v>
      </x:c>
      <x:c r="T219" t="n">
        <x:v>18000000</x:v>
      </x:c>
      <x:c r="U219" t="n">
        <x:v>216614388</x:v>
      </x:c>
      <x:c r="V219" t="n">
        <x:v>0</x:v>
      </x:c>
      <x:c r="W219" t="n">
        <x:v>0</x:v>
      </x:c>
    </x:row>
    <x:row r="220">
      <x:c r="J220" t="n">
        <x:v>219</x:v>
      </x:c>
      <x:c r="K220" t="str">
        <x:v>28 Days Later</x:v>
      </x:c>
      <x:c r="L220" t="n">
        <x:v>37561</x:v>
      </x:c>
      <x:c r="M220" t="n">
        <x:v>113</x:v>
      </x:c>
      <x:c r="N220" t="str">
        <x:v>Horror</x:v>
      </x:c>
      <x:c r="O220" t="str">
        <x:v>Danny Boyle</x:v>
      </x:c>
      <x:c r="P220" t="str">
        <x:v>British Film Council</x:v>
      </x:c>
      <x:c r="Q220" t="str">
        <x:v>United Kingdom</x:v>
      </x:c>
      <x:c r="R220" t="str">
        <x:v>English</x:v>
      </x:c>
      <x:c r="S220" t="n">
        <x:v>18</x:v>
      </x:c>
      <x:c r="T220" t="n">
        <x:v>8000000</x:v>
      </x:c>
      <x:c r="U220" t="n">
        <x:v>82719885</x:v>
      </x:c>
      <x:c r="V220" t="n">
        <x:v>0</x:v>
      </x:c>
      <x:c r="W220" t="n">
        <x:v>0</x:v>
      </x:c>
    </x:row>
    <x:row r="221">
      <x:c r="J221" t="n">
        <x:v>220</x:v>
      </x:c>
      <x:c r="K221" t="str">
        <x:v>The Beach</x:v>
      </x:c>
      <x:c r="L221" t="n">
        <x:v>36567</x:v>
      </x:c>
      <x:c r="M221" t="n">
        <x:v>115</x:v>
      </x:c>
      <x:c r="N221" t="str">
        <x:v>Drama</x:v>
      </x:c>
      <x:c r="O221" t="str">
        <x:v>Danny Boyle</x:v>
      </x:c>
      <x:c r="P221" t="str">
        <x:v>20th Century Fox</x:v>
      </x:c>
      <x:c r="Q221" t="str">
        <x:v>United Kingdom</x:v>
      </x:c>
      <x:c r="R221" t="str">
        <x:v>English</x:v>
      </x:c>
      <x:c r="S221" t="n">
        <x:v>15</x:v>
      </x:c>
      <x:c r="T221" t="n">
        <x:v>50000000</x:v>
      </x:c>
      <x:c r="U221" t="n">
        <x:v>144000000</x:v>
      </x:c>
      <x:c r="V221" t="n">
        <x:v>0</x:v>
      </x:c>
      <x:c r="W221" t="n">
        <x:v>0</x:v>
      </x:c>
    </x:row>
    <x:row r="222">
      <x:c r="J222" t="n">
        <x:v>221</x:v>
      </x:c>
      <x:c r="K222" t="str">
        <x:v>Trainspotting</x:v>
      </x:c>
      <x:c r="L222" t="n">
        <x:v>35118</x:v>
      </x:c>
      <x:c r="M222" t="n">
        <x:v>93</x:v>
      </x:c>
      <x:c r="N222" t="str">
        <x:v>Drama</x:v>
      </x:c>
      <x:c r="O222" t="str">
        <x:v>Danny Boyle</x:v>
      </x:c>
      <x:c r="P222" t="str">
        <x:v>Channel Four Films</x:v>
      </x:c>
      <x:c r="Q222" t="str">
        <x:v>United Kingdom</x:v>
      </x:c>
      <x:c r="R222" t="str">
        <x:v>English</x:v>
      </x:c>
      <x:c r="S222" t="n">
        <x:v>18</x:v>
      </x:c>
      <x:c r="T222" t="n">
        <x:v>3100000</x:v>
      </x:c>
      <x:c r="U222" t="n">
        <x:v>72000000</x:v>
      </x:c>
      <x:c r="V222" t="n">
        <x:v>1</x:v>
      </x:c>
      <x:c r="W222" t="n">
        <x:v>0</x:v>
      </x:c>
    </x:row>
    <x:row r="223">
      <x:c r="J223" t="n">
        <x:v>222</x:v>
      </x:c>
      <x:c r="K223" t="str">
        <x:v>The Spy Who Loved Me</x:v>
      </x:c>
      <x:c r="L223" t="n">
        <x:v>28313</x:v>
      </x:c>
      <x:c r="M223" t="n">
        <x:v>125</x:v>
      </x:c>
      <x:c r="N223" t="str">
        <x:v>Thriller</x:v>
      </x:c>
      <x:c r="O223" t="str">
        <x:v>Lewis Gilbert</x:v>
      </x:c>
      <x:c r="P223" t="str">
        <x:v>Eon Productions</x:v>
      </x:c>
      <x:c r="Q223" t="str">
        <x:v>United Kingdom</x:v>
      </x:c>
      <x:c r="R223" t="str">
        <x:v>English</x:v>
      </x:c>
      <x:c r="S223" t="str">
        <x:v>PG</x:v>
      </x:c>
      <x:c r="T223" t="n">
        <x:v>14000000</x:v>
      </x:c>
      <x:c r="U223" t="n">
        <x:v>185400000</x:v>
      </x:c>
      <x:c r="V223" t="n">
        <x:v>3</x:v>
      </x:c>
      <x:c r="W223" t="n">
        <x:v>0</x:v>
      </x:c>
    </x:row>
    <x:row r="224">
      <x:c r="J224" t="n">
        <x:v>223</x:v>
      </x:c>
      <x:c r="K224" t="str">
        <x:v>Downfall</x:v>
      </x:c>
      <x:c r="L224" t="n">
        <x:v>38246</x:v>
      </x:c>
      <x:c r="M224" t="n">
        <x:v>155</x:v>
      </x:c>
      <x:c r="N224" t="str">
        <x:v>War</x:v>
      </x:c>
      <x:c r="O224" t="str">
        <x:v>Oliver Hirschbiegel</x:v>
      </x:c>
      <x:c r="P224" t="str">
        <x:v>Newmarket Capital Group</x:v>
      </x:c>
      <x:c r="Q224" t="str">
        <x:v>Germany</x:v>
      </x:c>
      <x:c r="R224" t="str">
        <x:v>German</x:v>
      </x:c>
      <x:c r="S224" t="n">
        <x:v>15</x:v>
      </x:c>
      <x:c r="T224" t="n">
        <x:v>13500000</x:v>
      </x:c>
      <x:c r="U224" t="n">
        <x:v>72649179</x:v>
      </x:c>
      <x:c r="V224" t="n">
        <x:v>1</x:v>
      </x:c>
      <x:c r="W224" t="n">
        <x:v>0</x:v>
      </x:c>
    </x:row>
    <x:row r="225">
      <x:c r="J225" t="n">
        <x:v>224</x:v>
      </x:c>
      <x:c r="K225" t="str">
        <x:v>Letters from Iwo Jima</x:v>
      </x:c>
      <x:c r="L225" t="n">
        <x:v>39060</x:v>
      </x:c>
      <x:c r="M225" t="n">
        <x:v>141</x:v>
      </x:c>
      <x:c r="N225" t="str">
        <x:v>War</x:v>
      </x:c>
      <x:c r="O225" t="str">
        <x:v>Clint Eastwood</x:v>
      </x:c>
      <x:c r="P225" t="str">
        <x:v>Dreamworks</x:v>
      </x:c>
      <x:c r="Q225" t="str">
        <x:v>United States</x:v>
      </x:c>
      <x:c r="R225" t="str">
        <x:v>Japanese</x:v>
      </x:c>
      <x:c r="S225" t="n">
        <x:v>15</x:v>
      </x:c>
      <x:c r="T225" t="n">
        <x:v>19000000</x:v>
      </x:c>
      <x:c r="U225" t="n">
        <x:v>68673228</x:v>
      </x:c>
      <x:c r="V225" t="n">
        <x:v>4</x:v>
      </x:c>
      <x:c r="W225" t="n">
        <x:v>1</x:v>
      </x:c>
    </x:row>
    <x:row r="226">
      <x:c r="J226" t="n">
        <x:v>225</x:v>
      </x:c>
      <x:c r="K226" t="str">
        <x:v>Star Trek II: The Wrath of Khan</x:v>
      </x:c>
      <x:c r="L226" t="n">
        <x:v>30106</x:v>
      </x:c>
      <x:c r="M226" t="n">
        <x:v>113</x:v>
      </x:c>
      <x:c r="N226" t="str">
        <x:v>Science Fiction</x:v>
      </x:c>
      <x:c r="O226" t="str">
        <x:v>Nicholas Meyer</x:v>
      </x:c>
      <x:c r="P226" t="str">
        <x:v>Paramount Pictures</x:v>
      </x:c>
      <x:c r="Q226" t="str">
        <x:v>United States</x:v>
      </x:c>
      <x:c r="R226" t="str">
        <x:v>English</x:v>
      </x:c>
      <x:c r="S226" t="n">
        <x:v>12</x:v>
      </x:c>
      <x:c r="T226" t="n">
        <x:v>11200000</x:v>
      </x:c>
      <x:c r="U226" t="n">
        <x:v>97000000</x:v>
      </x:c>
      <x:c r="V226" t="n">
        <x:v>0</x:v>
      </x:c>
      <x:c r="W226" t="n">
        <x:v>0</x:v>
      </x:c>
    </x:row>
    <x:row r="227">
      <x:c r="J227" t="n">
        <x:v>226</x:v>
      </x:c>
      <x:c r="K227" t="str">
        <x:v>House of Flying Daggers</x:v>
      </x:c>
      <x:c r="L227" t="n">
        <x:v>38126</x:v>
      </x:c>
      <x:c r="M227" t="n">
        <x:v>119</x:v>
      </x:c>
      <x:c r="N227" t="str">
        <x:v>Martial Arts</x:v>
      </x:c>
      <x:c r="O227" t="str">
        <x:v>Zhang Yimou</x:v>
      </x:c>
      <x:c r="P227" t="str">
        <x:v>EDKO Films</x:v>
      </x:c>
      <x:c r="Q227" t="str">
        <x:v>China</x:v>
      </x:c>
      <x:c r="R227" t="str">
        <x:v>Mandarin</x:v>
      </x:c>
      <x:c r="S227" t="n">
        <x:v>15</x:v>
      </x:c>
      <x:c r="T227" t="n">
        <x:v>12000000</x:v>
      </x:c>
      <x:c r="U227" t="n">
        <x:v>92863945</x:v>
      </x:c>
      <x:c r="V227" t="n">
        <x:v>1</x:v>
      </x:c>
      <x:c r="W227" t="n">
        <x:v>0</x:v>
      </x:c>
    </x:row>
    <x:row r="228">
      <x:c r="J228" t="n">
        <x:v>227</x:v>
      </x:c>
      <x:c r="K228" t="str">
        <x:v>Das Boot</x:v>
      </x:c>
      <x:c r="L228" t="n">
        <x:v>29846</x:v>
      </x:c>
      <x:c r="M228" t="n">
        <x:v>149</x:v>
      </x:c>
      <x:c r="N228" t="str">
        <x:v>War</x:v>
      </x:c>
      <x:c r="O228" t="str">
        <x:v>Wolfgang Peterson</x:v>
      </x:c>
      <x:c r="P228" t="str">
        <x:v>Bavaria Film</x:v>
      </x:c>
      <x:c r="Q228" t="str">
        <x:v>Germany</x:v>
      </x:c>
      <x:c r="R228" t="str">
        <x:v>German</x:v>
      </x:c>
      <x:c r="S228" t="n">
        <x:v>15</x:v>
      </x:c>
      <x:c r="T228" t="n">
        <x:v>12000000</x:v>
      </x:c>
      <x:c r="U228" t="n">
        <x:v>84970337</x:v>
      </x:c>
      <x:c r="V228" t="n">
        <x:v>6</x:v>
      </x:c>
      <x:c r="W228" t="n">
        <x:v>0</x:v>
      </x:c>
    </x:row>
    <x:row r="229">
      <x:c r="J229" t="n">
        <x:v>228</x:v>
      </x:c>
      <x:c r="K229" t="str">
        <x:v>Casino Royale</x:v>
      </x:c>
      <x:c r="L229" t="n">
        <x:v>24590</x:v>
      </x:c>
      <x:c r="M229" t="n">
        <x:v>131</x:v>
      </x:c>
      <x:c r="N229" t="str">
        <x:v>Thriller</x:v>
      </x:c>
      <x:c r="O229" t="str">
        <x:v>Ken Hughes</x:v>
      </x:c>
      <x:c r="P229" t="str">
        <x:v>Columbia Pictures</x:v>
      </x:c>
      <x:c r="Q229" t="str">
        <x:v>United Kingdom</x:v>
      </x:c>
      <x:c r="R229" t="str">
        <x:v>English</x:v>
      </x:c>
      <x:c r="S229" t="str">
        <x:v>U</x:v>
      </x:c>
      <x:c r="T229" t="n">
        <x:v>12000000</x:v>
      </x:c>
      <x:c r="U229" t="n">
        <x:v>41700000</x:v>
      </x:c>
      <x:c r="V229" t="n">
        <x:v>1</x:v>
      </x:c>
      <x:c r="W229" t="n">
        <x:v>0</x:v>
      </x:c>
    </x:row>
    <x:row r="230">
      <x:c r="J230" t="n">
        <x:v>229</x:v>
      </x:c>
      <x:c r="K230" t="str">
        <x:v>Star Wars: Episode IV: A New Hope</x:v>
      </x:c>
      <x:c r="L230" t="n">
        <x:v>28270</x:v>
      </x:c>
      <x:c r="M230" t="n">
        <x:v>121</x:v>
      </x:c>
      <x:c r="N230" t="str">
        <x:v>Science Fiction</x:v>
      </x:c>
      <x:c r="O230" t="str">
        <x:v>George Lucas</x:v>
      </x:c>
      <x:c r="P230" t="str">
        <x:v>Lucasfilm</x:v>
      </x:c>
      <x:c r="Q230" t="str">
        <x:v>United States</x:v>
      </x:c>
      <x:c r="R230" t="str">
        <x:v>English</x:v>
      </x:c>
      <x:c r="S230" t="str">
        <x:v>U</x:v>
      </x:c>
      <x:c r="T230" t="n">
        <x:v>11000000</x:v>
      </x:c>
      <x:c r="U230" t="n">
        <x:v>775400000</x:v>
      </x:c>
      <x:c r="V230" t="n">
        <x:v>11</x:v>
      </x:c>
      <x:c r="W230" t="n">
        <x:v>7</x:v>
      </x:c>
    </x:row>
    <x:row r="231">
      <x:c r="J231" t="n">
        <x:v>230</x:v>
      </x:c>
      <x:c r="K231" t="str">
        <x:v>E.T.: The Extra-Terrestrial</x:v>
      </x:c>
      <x:c r="L231" t="n">
        <x:v>30113</x:v>
      </x:c>
      <x:c r="M231" t="n">
        <x:v>115</x:v>
      </x:c>
      <x:c r="N231" t="str">
        <x:v>Science Fiction</x:v>
      </x:c>
      <x:c r="O231" t="str">
        <x:v>Steven Spielberg</x:v>
      </x:c>
      <x:c r="P231" t="str">
        <x:v>Amblin Entertainment</x:v>
      </x:c>
      <x:c r="Q231" t="str">
        <x:v>United States</x:v>
      </x:c>
      <x:c r="R231" t="str">
        <x:v>English</x:v>
      </x:c>
      <x:c r="S231" t="str">
        <x:v>U</x:v>
      </x:c>
      <x:c r="T231" t="n">
        <x:v>10500000</x:v>
      </x:c>
      <x:c r="U231" t="n">
        <x:v>792900000</x:v>
      </x:c>
      <x:c r="V231" t="n">
        <x:v>9</x:v>
      </x:c>
      <x:c r="W231" t="n">
        <x:v>4</x:v>
      </x:c>
    </x:row>
    <x:row r="232">
      <x:c r="J232" t="n">
        <x:v>231</x:v>
      </x:c>
      <x:c r="K232" t="str">
        <x:v>Amelie</x:v>
      </x:c>
      <x:c r="L232" t="n">
        <x:v>37006</x:v>
      </x:c>
      <x:c r="M232" t="n">
        <x:v>123</x:v>
      </x:c>
      <x:c r="N232" t="str">
        <x:v>Comedy</x:v>
      </x:c>
      <x:c r="O232" t="str">
        <x:v>Jean-Pierre Jeunet</x:v>
      </x:c>
      <x:c r="P232" t="str">
        <x:v>UGC</x:v>
      </x:c>
      <x:c r="Q232" t="str">
        <x:v>France</x:v>
      </x:c>
      <x:c r="R232" t="str">
        <x:v>French</x:v>
      </x:c>
      <x:c r="S232" t="n">
        <x:v>15</x:v>
      </x:c>
      <x:c r="T232" t="n">
        <x:v>10000000</x:v>
      </x:c>
      <x:c r="U232" t="n">
        <x:v>173921954</x:v>
      </x:c>
      <x:c r="V232" t="n">
        <x:v>5</x:v>
      </x:c>
      <x:c r="W232" t="n">
        <x:v>0</x:v>
      </x:c>
    </x:row>
    <x:row r="233">
      <x:c r="J233" t="n">
        <x:v>232</x:v>
      </x:c>
      <x:c r="K233" t="str">
        <x:v>You Only Live Twice</x:v>
      </x:c>
      <x:c r="L233" t="n">
        <x:v>24635</x:v>
      </x:c>
      <x:c r="M233" t="n">
        <x:v>117</x:v>
      </x:c>
      <x:c r="N233" t="str">
        <x:v>Thriller</x:v>
      </x:c>
      <x:c r="O233" t="str">
        <x:v>Lewis Gilbert</x:v>
      </x:c>
      <x:c r="P233" t="str">
        <x:v>Eon Productions</x:v>
      </x:c>
      <x:c r="Q233" t="str">
        <x:v>United States</x:v>
      </x:c>
      <x:c r="R233" t="str">
        <x:v>English</x:v>
      </x:c>
      <x:c r="S233" t="str">
        <x:v>PG</x:v>
      </x:c>
      <x:c r="T233" t="n">
        <x:v>10300000</x:v>
      </x:c>
      <x:c r="U233" t="n">
        <x:v>111000000</x:v>
      </x:c>
      <x:c r="V233" t="n">
        <x:v>0</x:v>
      </x:c>
      <x:c r="W233" t="n">
        <x:v>0</x:v>
      </x:c>
    </x:row>
    <x:row r="234">
      <x:c r="J234" t="n">
        <x:v>233</x:v>
      </x:c>
      <x:c r="K234" t="str">
        <x:v>Thunderball</x:v>
      </x:c>
      <x:c r="L234" t="n">
        <x:v>24085</x:v>
      </x:c>
      <x:c r="M234" t="n">
        <x:v>130</x:v>
      </x:c>
      <x:c r="N234" t="str">
        <x:v>Thriller</x:v>
      </x:c>
      <x:c r="O234" t="str">
        <x:v>Terence Young</x:v>
      </x:c>
      <x:c r="P234" t="str">
        <x:v>Eon Productions</x:v>
      </x:c>
      <x:c r="Q234" t="str">
        <x:v>United Kingdom</x:v>
      </x:c>
      <x:c r="R234" t="str">
        <x:v>English</x:v>
      </x:c>
      <x:c r="S234" t="str">
        <x:v>PG</x:v>
      </x:c>
      <x:c r="T234" t="n">
        <x:v>9000000</x:v>
      </x:c>
      <x:c r="U234" t="n">
        <x:v>141200000</x:v>
      </x:c>
      <x:c r="V234" t="n">
        <x:v>1</x:v>
      </x:c>
      <x:c r="W234" t="n">
        <x:v>1</x:v>
      </x:c>
    </x:row>
    <x:row r="235">
      <x:c r="J235" t="n">
        <x:v>234</x:v>
      </x:c>
      <x:c r="K235" t="str">
        <x:v>Alien</x:v>
      </x:c>
      <x:c r="L235" t="n">
        <x:v>29000</x:v>
      </x:c>
      <x:c r="M235" t="n">
        <x:v>117</x:v>
      </x:c>
      <x:c r="N235" t="str">
        <x:v>Science Fiction</x:v>
      </x:c>
      <x:c r="O235" t="str">
        <x:v>Ridley Scott</x:v>
      </x:c>
      <x:c r="P235" t="str">
        <x:v>Brandywine Productions</x:v>
      </x:c>
      <x:c r="Q235" t="str">
        <x:v>United States</x:v>
      </x:c>
      <x:c r="R235" t="str">
        <x:v>English</x:v>
      </x:c>
      <x:c r="S235" t="n">
        <x:v>18</x:v>
      </x:c>
      <x:c r="T235" t="n">
        <x:v>11000000</x:v>
      </x:c>
      <x:c r="U235" t="n">
        <x:v>203600000</x:v>
      </x:c>
      <x:c r="V235" t="n">
        <x:v>2</x:v>
      </x:c>
      <x:c r="W235" t="n">
        <x:v>1</x:v>
      </x:c>
    </x:row>
    <x:row r="236">
      <x:c r="J236" t="n">
        <x:v>236</x:v>
      </x:c>
      <x:c r="K236" t="str">
        <x:v>On Her Majesty's Secret Service</x:v>
      </x:c>
      <x:c r="L236" t="n">
        <x:v>25555</x:v>
      </x:c>
      <x:c r="M236" t="n">
        <x:v>140</x:v>
      </x:c>
      <x:c r="N236" t="str">
        <x:v>Thriller</x:v>
      </x:c>
      <x:c r="O236" t="str">
        <x:v>Peter R. Hunt</x:v>
      </x:c>
      <x:c r="P236" t="str">
        <x:v>Eon Productions</x:v>
      </x:c>
      <x:c r="Q236" t="str">
        <x:v>United Kingdom</x:v>
      </x:c>
      <x:c r="R236" t="str">
        <x:v>English</x:v>
      </x:c>
      <x:c r="S236" t="str">
        <x:v>PG</x:v>
      </x:c>
      <x:c r="T236" t="n">
        <x:v>7000000</x:v>
      </x:c>
      <x:c r="U236" t="n">
        <x:v>64600000</x:v>
      </x:c>
      <x:c r="V236" t="n">
        <x:v>0</x:v>
      </x:c>
      <x:c r="W236" t="n">
        <x:v>0</x:v>
      </x:c>
    </x:row>
    <x:row r="237">
      <x:c r="J237" t="n">
        <x:v>237</x:v>
      </x:c>
      <x:c r="K237" t="str">
        <x:v>Pulp Fiction</x:v>
      </x:c>
      <x:c r="L237" t="n">
        <x:v>34621</x:v>
      </x:c>
      <x:c r="M237" t="n">
        <x:v>154</x:v>
      </x:c>
      <x:c r="N237" t="str">
        <x:v>Crime</x:v>
      </x:c>
      <x:c r="O237" t="str">
        <x:v>Quentin Tarantino</x:v>
      </x:c>
      <x:c r="P237" t="str">
        <x:v>A Band Apart</x:v>
      </x:c>
      <x:c r="Q237" t="str">
        <x:v>United States</x:v>
      </x:c>
      <x:c r="R237" t="str">
        <x:v>English</x:v>
      </x:c>
      <x:c r="S237" t="n">
        <x:v>18</x:v>
      </x:c>
      <x:c r="T237" t="n">
        <x:v>8500000</x:v>
      </x:c>
      <x:c r="U237" t="n">
        <x:v>213900000</x:v>
      </x:c>
      <x:c r="V237" t="n">
        <x:v>7</x:v>
      </x:c>
      <x:c r="W237" t="n">
        <x:v>1</x:v>
      </x:c>
    </x:row>
    <x:row r="238">
      <x:c r="J238" t="n">
        <x:v>238</x:v>
      </x:c>
      <x:c r="K238" t="str">
        <x:v>Rumble in the Bronx</x:v>
      </x:c>
      <x:c r="L238" t="n">
        <x:v>34720</x:v>
      </x:c>
      <x:c r="M238" t="n">
        <x:v>106</x:v>
      </x:c>
      <x:c r="N238" t="str">
        <x:v>Martial Arts</x:v>
      </x:c>
      <x:c r="O238" t="str">
        <x:v>Stanley Tong</x:v>
      </x:c>
      <x:c r="P238" t="str">
        <x:v>Golden Harvest</x:v>
      </x:c>
      <x:c r="Q238" t="str">
        <x:v>Hong Kong</x:v>
      </x:c>
      <x:c r="R238" t="str">
        <x:v>Cantonese</x:v>
      </x:c>
      <x:c r="S238" t="n">
        <x:v>15</x:v>
      </x:c>
      <x:c r="T238" t="n">
        <x:v>7500000</x:v>
      </x:c>
      <x:c r="U238" t="n">
        <x:v>32392047</x:v>
      </x:c>
      <x:c r="V238" t="n">
        <x:v>0</x:v>
      </x:c>
      <x:c r="W238" t="n">
        <x:v>0</x:v>
      </x:c>
    </x:row>
    <x:row r="239">
      <x:c r="J239" t="n">
        <x:v>239</x:v>
      </x:c>
      <x:c r="K239" t="str">
        <x:v>Diamonds are Forever</x:v>
      </x:c>
      <x:c r="L239" t="n">
        <x:v>26281</x:v>
      </x:c>
      <x:c r="M239" t="n">
        <x:v>120</x:v>
      </x:c>
      <x:c r="N239" t="str">
        <x:v>Thriller</x:v>
      </x:c>
      <x:c r="O239" t="str">
        <x:v>Guy Hamilton</x:v>
      </x:c>
      <x:c r="P239" t="str">
        <x:v>Eon Productions</x:v>
      </x:c>
      <x:c r="Q239" t="str">
        <x:v>United Kingdom</x:v>
      </x:c>
      <x:c r="R239" t="str">
        <x:v>English</x:v>
      </x:c>
      <x:c r="S239" t="str">
        <x:v>PG</x:v>
      </x:c>
      <x:c r="T239" t="n">
        <x:v>7200000</x:v>
      </x:c>
      <x:c r="U239" t="n">
        <x:v>116000000</x:v>
      </x:c>
      <x:c r="V239" t="n">
        <x:v>1</x:v>
      </x:c>
      <x:c r="W239" t="n">
        <x:v>0</x:v>
      </x:c>
    </x:row>
    <x:row r="240">
      <x:c r="J240" t="n">
        <x:v>240</x:v>
      </x:c>
      <x:c r="K240" t="str">
        <x:v>Fargo</x:v>
      </x:c>
      <x:c r="L240" t="n">
        <x:v>35132</x:v>
      </x:c>
      <x:c r="M240" t="n">
        <x:v>98</x:v>
      </x:c>
      <x:c r="N240" t="str">
        <x:v>Crime</x:v>
      </x:c>
      <x:c r="O240" t="str">
        <x:v>Joel Coen</x:v>
      </x:c>
      <x:c r="P240" t="str">
        <x:v>Polygram Filmed Entertainment</x:v>
      </x:c>
      <x:c r="Q240" t="str">
        <x:v>United States</x:v>
      </x:c>
      <x:c r="R240" t="str">
        <x:v>English</x:v>
      </x:c>
      <x:c r="S240" t="n">
        <x:v>18</x:v>
      </x:c>
      <x:c r="T240" t="n">
        <x:v>7000000</x:v>
      </x:c>
      <x:c r="U240" t="n">
        <x:v>60611975</x:v>
      </x:c>
      <x:c r="V240" t="n">
        <x:v>7</x:v>
      </x:c>
      <x:c r="W240" t="n">
        <x:v>2</x:v>
      </x:c>
    </x:row>
    <x:row r="241">
      <x:c r="J241" t="n">
        <x:v>241</x:v>
      </x:c>
      <x:c r="K241" t="str">
        <x:v>Live and Let Die</x:v>
      </x:c>
      <x:c r="L241" t="n">
        <x:v>26842</x:v>
      </x:c>
      <x:c r="M241" t="n">
        <x:v>121</x:v>
      </x:c>
      <x:c r="N241" t="str">
        <x:v>Thriller</x:v>
      </x:c>
      <x:c r="O241" t="str">
        <x:v>Guy Hamilton</x:v>
      </x:c>
      <x:c r="P241" t="str">
        <x:v>Eon Productions</x:v>
      </x:c>
      <x:c r="Q241" t="str">
        <x:v>United Kingdom</x:v>
      </x:c>
      <x:c r="R241" t="str">
        <x:v>English</x:v>
      </x:c>
      <x:c r="S241" t="str">
        <x:v>PG</x:v>
      </x:c>
      <x:c r="T241" t="n">
        <x:v>7000000</x:v>
      </x:c>
      <x:c r="U241" t="n">
        <x:v>126400000</x:v>
      </x:c>
      <x:c r="V241" t="n">
        <x:v>1</x:v>
      </x:c>
      <x:c r="W241" t="n">
        <x:v>0</x:v>
      </x:c>
    </x:row>
    <x:row r="242">
      <x:c r="J242" t="n">
        <x:v>242</x:v>
      </x:c>
      <x:c r="K242" t="str">
        <x:v>The Man with the Golden Gun</x:v>
      </x:c>
      <x:c r="L242" t="n">
        <x:v>27382</x:v>
      </x:c>
      <x:c r="M242" t="n">
        <x:v>125</x:v>
      </x:c>
      <x:c r="N242" t="str">
        <x:v>Thriller</x:v>
      </x:c>
      <x:c r="O242" t="str">
        <x:v>Guy Hamilton</x:v>
      </x:c>
      <x:c r="P242" t="str">
        <x:v>Eon Productions</x:v>
      </x:c>
      <x:c r="Q242" t="str">
        <x:v>United Kingdom</x:v>
      </x:c>
      <x:c r="R242" t="str">
        <x:v>English</x:v>
      </x:c>
      <x:c r="S242" t="str">
        <x:v>PG</x:v>
      </x:c>
      <x:c r="T242" t="n">
        <x:v>7000000</x:v>
      </x:c>
      <x:c r="U242" t="n">
        <x:v>98500000</x:v>
      </x:c>
      <x:c r="V242" t="n">
        <x:v>0</x:v>
      </x:c>
      <x:c r="W242" t="n">
        <x:v>0</x:v>
      </x:c>
    </x:row>
    <x:row r="243">
      <x:c r="J243" t="n">
        <x:v>243</x:v>
      </x:c>
      <x:c r="K243" t="str">
        <x:v>Good Night, and Good Luck</x:v>
      </x:c>
      <x:c r="L243" t="n">
        <x:v>38632</x:v>
      </x:c>
      <x:c r="M243" t="n">
        <x:v>93</x:v>
      </x:c>
      <x:c r="N243" t="str">
        <x:v>Drama</x:v>
      </x:c>
      <x:c r="O243" t="str">
        <x:v>George Clooney</x:v>
      </x:c>
      <x:c r="P243" t="str">
        <x:v>2929 Entertainment</x:v>
      </x:c>
      <x:c r="Q243" t="str">
        <x:v>United States</x:v>
      </x:c>
      <x:c r="R243" t="str">
        <x:v>English</x:v>
      </x:c>
      <x:c r="S243" t="str">
        <x:v>PG</x:v>
      </x:c>
      <x:c r="T243" t="n">
        <x:v>7000000</x:v>
      </x:c>
      <x:c r="U243" t="n">
        <x:v>56500000</x:v>
      </x:c>
      <x:c r="V243" t="n">
        <x:v>6</x:v>
      </x:c>
      <x:c r="W243" t="n">
        <x:v>0</x:v>
      </x:c>
    </x:row>
    <x:row r="244">
      <x:c r="J244" t="n">
        <x:v>244</x:v>
      </x:c>
      <x:c r="K244" t="str">
        <x:v>Pale Rider</x:v>
      </x:c>
      <x:c r="L244" t="n">
        <x:v>31224</x:v>
      </x:c>
      <x:c r="M244" t="n">
        <x:v>116</x:v>
      </x:c>
      <x:c r="N244" t="str">
        <x:v>Western</x:v>
      </x:c>
      <x:c r="O244" t="str">
        <x:v>Clint Eastwood</x:v>
      </x:c>
      <x:c r="P244" t="str">
        <x:v>The Malpaso Company</x:v>
      </x:c>
      <x:c r="Q244" t="str">
        <x:v>United States</x:v>
      </x:c>
      <x:c r="R244" t="str">
        <x:v>English</x:v>
      </x:c>
      <x:c r="S244" t="n">
        <x:v>15</x:v>
      </x:c>
      <x:c r="T244" t="n">
        <x:v>6900000</x:v>
      </x:c>
      <x:c r="U244" t="n">
        <x:v>41410568</x:v>
      </x:c>
      <x:c r="V244" t="n">
        <x:v>0</x:v>
      </x:c>
      <x:c r="W244" t="n">
        <x:v>0</x:v>
      </x:c>
    </x:row>
    <x:row r="245">
      <x:c r="J245" t="n">
        <x:v>245</x:v>
      </x:c>
      <x:c r="K245" t="str">
        <x:v>The Terminator</x:v>
      </x:c>
      <x:c r="L245" t="n">
        <x:v>30981</x:v>
      </x:c>
      <x:c r="M245" t="n">
        <x:v>108</x:v>
      </x:c>
      <x:c r="N245" t="str">
        <x:v>Science Fiction</x:v>
      </x:c>
      <x:c r="O245" t="str">
        <x:v>James Cameron</x:v>
      </x:c>
      <x:c r="P245" t="str">
        <x:v>Hemdale</x:v>
      </x:c>
      <x:c r="Q245" t="str">
        <x:v>United States</x:v>
      </x:c>
      <x:c r="R245" t="str">
        <x:v>English</x:v>
      </x:c>
      <x:c r="S245" t="n">
        <x:v>15</x:v>
      </x:c>
      <x:c r="T245" t="n">
        <x:v>6400000</x:v>
      </x:c>
      <x:c r="U245" t="n">
        <x:v>78400000</x:v>
      </x:c>
      <x:c r="V245" t="n">
        <x:v>0</x:v>
      </x:c>
      <x:c r="W245" t="n">
        <x:v>0</x:v>
      </x:c>
    </x:row>
    <x:row r="246">
      <x:c r="J246" t="n">
        <x:v>246</x:v>
      </x:c>
      <x:c r="K246" t="str">
        <x:v>Around the World in 80 Days</x:v>
      </x:c>
      <x:c r="L246" t="n">
        <x:v>20745</x:v>
      </x:c>
      <x:c r="M246" t="n">
        <x:v>183</x:v>
      </x:c>
      <x:c r="N246" t="str">
        <x:v>Adventure</x:v>
      </x:c>
      <x:c r="O246" t="str">
        <x:v>Michael Anderson</x:v>
      </x:c>
      <x:c r="P246" t="str">
        <x:v>United Artists</x:v>
      </x:c>
      <x:c r="Q246" t="str">
        <x:v>United States</x:v>
      </x:c>
      <x:c r="R246" t="str">
        <x:v>English</x:v>
      </x:c>
      <x:c r="S246" t="str">
        <x:v>U</x:v>
      </x:c>
      <x:c r="T246" t="n">
        <x:v>6000000</x:v>
      </x:c>
      <x:c r="U246" t="n">
        <x:v>42000000</x:v>
      </x:c>
      <x:c r="V246" t="n">
        <x:v>8</x:v>
      </x:c>
      <x:c r="W246" t="n">
        <x:v>5</x:v>
      </x:c>
    </x:row>
    <x:row r="247">
      <x:c r="J247" t="n">
        <x:v>249</x:v>
      </x:c>
      <x:c r="K247" t="str">
        <x:v>The Usual Suspects</x:v>
      </x:c>
      <x:c r="L247" t="n">
        <x:v>34936</x:v>
      </x:c>
      <x:c r="M247" t="n">
        <x:v>106</x:v>
      </x:c>
      <x:c r="N247" t="str">
        <x:v>Crime</x:v>
      </x:c>
      <x:c r="O247" t="str">
        <x:v>Bryan Singer</x:v>
      </x:c>
      <x:c r="P247" t="str">
        <x:v>Bad Hat Harry Productions</x:v>
      </x:c>
      <x:c r="Q247" t="str">
        <x:v>United States</x:v>
      </x:c>
      <x:c r="R247" t="str">
        <x:v>English</x:v>
      </x:c>
      <x:c r="S247" t="n">
        <x:v>18</x:v>
      </x:c>
      <x:c r="T247" t="n">
        <x:v>6000000</x:v>
      </x:c>
      <x:c r="U247" t="n">
        <x:v>23300000</x:v>
      </x:c>
      <x:c r="V247" t="n">
        <x:v>2</x:v>
      </x:c>
      <x:c r="W247" t="n">
        <x:v>2</x:v>
      </x:c>
    </x:row>
    <x:row r="248">
      <x:c r="J248" t="n">
        <x:v>250</x:v>
      </x:c>
      <x:c r="K248" t="str">
        <x:v>Memento</x:v>
      </x:c>
      <x:c r="L248" t="n">
        <x:v>36774</x:v>
      </x:c>
      <x:c r="M248" t="n">
        <x:v>113</x:v>
      </x:c>
      <x:c r="N248" t="str">
        <x:v>Thriller</x:v>
      </x:c>
      <x:c r="O248" t="str">
        <x:v>Christopher Nolan</x:v>
      </x:c>
      <x:c r="P248" t="str">
        <x:v>Summit Entertainment</x:v>
      </x:c>
      <x:c r="Q248" t="str">
        <x:v>United States</x:v>
      </x:c>
      <x:c r="R248" t="str">
        <x:v>English</x:v>
      </x:c>
      <x:c r="S248" t="n">
        <x:v>15</x:v>
      </x:c>
      <x:c r="T248" t="n">
        <x:v>9000000</x:v>
      </x:c>
      <x:c r="U248" t="n">
        <x:v>39700000</x:v>
      </x:c>
      <x:c r="V248" t="n">
        <x:v>2</x:v>
      </x:c>
      <x:c r="W248" t="n">
        <x:v>0</x:v>
      </x:c>
    </x:row>
    <x:row r="249">
      <x:c r="J249" t="n">
        <x:v>251</x:v>
      </x:c>
      <x:c r="K249" t="str">
        <x:v>Shaun of the Dead</x:v>
      </x:c>
      <x:c r="L249" t="n">
        <x:v>38086</x:v>
      </x:c>
      <x:c r="M249" t="n">
        <x:v>99</x:v>
      </x:c>
      <x:c r="N249" t="str">
        <x:v>Comedy</x:v>
      </x:c>
      <x:c r="O249" t="str">
        <x:v>Edgar Wright</x:v>
      </x:c>
      <x:c r="P249" t="str">
        <x:v>Big Talk Productions</x:v>
      </x:c>
      <x:c r="Q249" t="str">
        <x:v>United Kingdom</x:v>
      </x:c>
      <x:c r="R249" t="str">
        <x:v>English</x:v>
      </x:c>
      <x:c r="S249" t="n">
        <x:v>15</x:v>
      </x:c>
      <x:c r="T249" t="n">
        <x:v>6000000</x:v>
      </x:c>
      <x:c r="U249" t="n">
        <x:v>30000000</x:v>
      </x:c>
      <x:c r="V249" t="n">
        <x:v>0</x:v>
      </x:c>
      <x:c r="W249" t="n">
        <x:v>0</x:v>
      </x:c>
    </x:row>
    <x:row r="250">
      <x:c r="J250" t="n">
        <x:v>252</x:v>
      </x:c>
      <x:c r="K250" t="str">
        <x:v>Four Weddings and a Funeral</x:v>
      </x:c>
      <x:c r="L250" t="n">
        <x:v>34467</x:v>
      </x:c>
      <x:c r="M250" t="n">
        <x:v>117</x:v>
      </x:c>
      <x:c r="N250" t="str">
        <x:v>Romance</x:v>
      </x:c>
      <x:c r="O250" t="str">
        <x:v>Mike Newell</x:v>
      </x:c>
      <x:c r="P250" t="str">
        <x:v>Channel Four Films</x:v>
      </x:c>
      <x:c r="Q250" t="str">
        <x:v>United Kingdom</x:v>
      </x:c>
      <x:c r="R250" t="str">
        <x:v>English</x:v>
      </x:c>
      <x:c r="S250" t="n">
        <x:v>15</x:v>
      </x:c>
      <x:c r="T250" t="n">
        <x:v>4500000</x:v>
      </x:c>
      <x:c r="U250" t="n">
        <x:v>257700832</x:v>
      </x:c>
      <x:c r="V250" t="n">
        <x:v>2</x:v>
      </x:c>
      <x:c r="W250" t="n">
        <x:v>0</x:v>
      </x:c>
    </x:row>
    <x:row r="251">
      <x:c r="J251" t="n">
        <x:v>253</x:v>
      </x:c>
      <x:c r="K251" t="str">
        <x:v>Night Watch</x:v>
      </x:c>
      <x:c r="L251" t="n">
        <x:v>38176</x:v>
      </x:c>
      <x:c r="M251" t="n">
        <x:v>114</x:v>
      </x:c>
      <x:c r="N251" t="str">
        <x:v>Fantasy</x:v>
      </x:c>
      <x:c r="O251" t="str">
        <x:v>Timur Bekmambetov</x:v>
      </x:c>
      <x:c r="P251" t="str">
        <x:v>Channel One Russia</x:v>
      </x:c>
      <x:c r="Q251" t="str">
        <x:v>Russia</x:v>
      </x:c>
      <x:c r="R251" t="str">
        <x:v>Russian</x:v>
      </x:c>
      <x:c r="S251" t="n">
        <x:v>15</x:v>
      </x:c>
      <x:c r="T251" t="n">
        <x:v>4200000</x:v>
      </x:c>
      <x:c r="U251" t="n">
        <x:v>33899078</x:v>
      </x:c>
      <x:c r="V251" t="n">
        <x:v>0</x:v>
      </x:c>
      <x:c r="W251" t="n">
        <x:v>0</x:v>
      </x:c>
    </x:row>
    <x:row r="252">
      <x:c r="J252" t="n">
        <x:v>254</x:v>
      </x:c>
      <x:c r="K252" t="str">
        <x:v>Goldfinger</x:v>
      </x:c>
      <x:c r="L252" t="n">
        <x:v>23637</x:v>
      </x:c>
      <x:c r="M252" t="n">
        <x:v>110</x:v>
      </x:c>
      <x:c r="N252" t="str">
        <x:v>Thriller</x:v>
      </x:c>
      <x:c r="O252" t="str">
        <x:v>Guy Hamilton</x:v>
      </x:c>
      <x:c r="P252" t="str">
        <x:v>Eon Productions</x:v>
      </x:c>
      <x:c r="Q252" t="str">
        <x:v>United States</x:v>
      </x:c>
      <x:c r="R252" t="str">
        <x:v>English</x:v>
      </x:c>
      <x:c r="S252" t="str">
        <x:v>PG</x:v>
      </x:c>
      <x:c r="T252" t="n">
        <x:v>3000000</x:v>
      </x:c>
      <x:c r="U252" t="n">
        <x:v>124900000</x:v>
      </x:c>
      <x:c r="V252" t="n">
        <x:v>1</x:v>
      </x:c>
      <x:c r="W252" t="n">
        <x:v>1</x:v>
      </x:c>
    </x:row>
    <x:row r="253">
      <x:c r="J253" t="n">
        <x:v>255</x:v>
      </x:c>
      <x:c r="K253" t="str">
        <x:v>The Lives of Others</x:v>
      </x:c>
      <x:c r="L253" t="n">
        <x:v>38799</x:v>
      </x:c>
      <x:c r="M253" t="n">
        <x:v>137</x:v>
      </x:c>
      <x:c r="N253" t="str">
        <x:v>Drama</x:v>
      </x:c>
      <x:c r="O253" t="str">
        <x:v>Florian Henckel von Donnersmarck</x:v>
      </x:c>
      <x:c r="P253" t="str">
        <x:v>Bayerischer Rundfunk</x:v>
      </x:c>
      <x:c r="Q253" t="str">
        <x:v>Germany</x:v>
      </x:c>
      <x:c r="R253" t="str">
        <x:v>German</x:v>
      </x:c>
      <x:c r="S253" t="n">
        <x:v>15</x:v>
      </x:c>
      <x:c r="T253" t="n">
        <x:v>2000000</x:v>
      </x:c>
      <x:c r="U253" t="n">
        <x:v>77356942</x:v>
      </x:c>
      <x:c r="V253" t="n">
        <x:v>1</x:v>
      </x:c>
      <x:c r="W253" t="n">
        <x:v>1</x:v>
      </x:c>
    </x:row>
    <x:row r="254">
      <x:c r="J254" t="n">
        <x:v>256</x:v>
      </x:c>
      <x:c r="K254" t="str">
        <x:v>From Russia with Love</x:v>
      </x:c>
      <x:c r="L254" t="n">
        <x:v>23294</x:v>
      </x:c>
      <x:c r="M254" t="n">
        <x:v>115</x:v>
      </x:c>
      <x:c r="N254" t="str">
        <x:v>Thriller</x:v>
      </x:c>
      <x:c r="O254" t="str">
        <x:v>Terence Young</x:v>
      </x:c>
      <x:c r="P254" t="str">
        <x:v>Eon Productions</x:v>
      </x:c>
      <x:c r="Q254" t="str">
        <x:v>United Kingdom</x:v>
      </x:c>
      <x:c r="R254" t="str">
        <x:v>English</x:v>
      </x:c>
      <x:c r="S254" t="str">
        <x:v>PG</x:v>
      </x:c>
      <x:c r="T254" t="n">
        <x:v>2000000</x:v>
      </x:c>
      <x:c r="U254" t="n">
        <x:v>78900000</x:v>
      </x:c>
      <x:c r="V254" t="n">
        <x:v>0</x:v>
      </x:c>
      <x:c r="W254" t="n">
        <x:v>0</x:v>
      </x:c>
    </x:row>
    <x:row r="255">
      <x:c r="J255" t="n">
        <x:v>257</x:v>
      </x:c>
      <x:c r="K255" t="str">
        <x:v>Reservoir Dogs</x:v>
      </x:c>
      <x:c r="L255" t="n">
        <x:v>33900</x:v>
      </x:c>
      <x:c r="M255" t="n">
        <x:v>99</x:v>
      </x:c>
      <x:c r="N255" t="str">
        <x:v>Crime</x:v>
      </x:c>
      <x:c r="O255" t="str">
        <x:v>Quentin Tarantino</x:v>
      </x:c>
      <x:c r="P255" t="str">
        <x:v>Live Entertainment</x:v>
      </x:c>
      <x:c r="Q255" t="str">
        <x:v>United States</x:v>
      </x:c>
      <x:c r="R255" t="str">
        <x:v>English</x:v>
      </x:c>
      <x:c r="S255" t="n">
        <x:v>18</x:v>
      </x:c>
      <x:c r="T255" t="n">
        <x:v>1200000</x:v>
      </x:c>
      <x:c r="U255" t="n">
        <x:v>22000000</x:v>
      </x:c>
      <x:c r="V255" t="n">
        <x:v>0</x:v>
      </x:c>
      <x:c r="W255" t="n">
        <x:v>0</x:v>
      </x:c>
    </x:row>
    <x:row r="256">
      <x:c r="J256" t="n">
        <x:v>258</x:v>
      </x:c>
      <x:c r="K256" t="str">
        <x:v>Dr. No</x:v>
      </x:c>
      <x:c r="L256" t="n">
        <x:v>22924</x:v>
      </x:c>
      <x:c r="M256" t="n">
        <x:v>109</x:v>
      </x:c>
      <x:c r="N256" t="str">
        <x:v>Thriller</x:v>
      </x:c>
      <x:c r="O256" t="str">
        <x:v>Terence Young</x:v>
      </x:c>
      <x:c r="P256" t="str">
        <x:v>Eon Productions</x:v>
      </x:c>
      <x:c r="Q256" t="str">
        <x:v>United Kingdom</x:v>
      </x:c>
      <x:c r="R256" t="str">
        <x:v>English</x:v>
      </x:c>
      <x:c r="S256" t="str">
        <x:v>PG</x:v>
      </x:c>
      <x:c r="T256" t="n">
        <x:v>1100000</x:v>
      </x:c>
      <x:c r="U256" t="n">
        <x:v>59500000</x:v>
      </x:c>
      <x:c r="V256" t="n">
        <x:v>0</x:v>
      </x:c>
      <x:c r="W256" t="n">
        <x:v>0</x:v>
      </x:c>
    </x:row>
    <x:row r="257">
      <x:c r="J257" t="n">
        <x:v>259</x:v>
      </x:c>
      <x:c r="K257" t="str">
        <x:v>King Kong</x:v>
      </x:c>
      <x:c r="L257" t="n">
        <x:v>12151</x:v>
      </x:c>
      <x:c r="M257" t="n">
        <x:v>100</x:v>
      </x:c>
      <x:c r="N257" t="str">
        <x:v>Adventure</x:v>
      </x:c>
      <x:c r="O257" t="str">
        <x:v>Merian C. Cooper</x:v>
      </x:c>
      <x:c r="P257" t="str">
        <x:v>RKO Radio Pictures</x:v>
      </x:c>
      <x:c r="Q257" t="str">
        <x:v>United States</x:v>
      </x:c>
      <x:c r="R257" t="str">
        <x:v>English</x:v>
      </x:c>
      <x:c r="S257" t="str">
        <x:v>PG</x:v>
      </x:c>
      <x:c r="T257" t="n">
        <x:v>672000</x:v>
      </x:c>
      <x:c r="U257" t="n">
        <x:v>2847000</x:v>
      </x:c>
      <x:c r="V257" t="n">
        <x:v>0</x:v>
      </x:c>
      <x:c r="W257" t="n">
        <x:v>0</x:v>
      </x:c>
    </x:row>
    <x:row r="258">
      <x:c r="J258" t="n">
        <x:v>260</x:v>
      </x:c>
      <x:c r="K258" t="str">
        <x:v>Seven Samurai</x:v>
      </x:c>
      <x:c r="L258" t="n">
        <x:v>19840</x:v>
      </x:c>
      <x:c r="M258" t="n">
        <x:v>207</x:v>
      </x:c>
      <x:c r="N258" t="str">
        <x:v>Action</x:v>
      </x:c>
      <x:c r="O258" t="str">
        <x:v>Akira Kurosawa</x:v>
      </x:c>
      <x:c r="P258" t="str">
        <x:v>Toho Company</x:v>
      </x:c>
      <x:c r="Q258" t="str">
        <x:v>Japan</x:v>
      </x:c>
      <x:c r="R258" t="str">
        <x:v>Japanese</x:v>
      </x:c>
      <x:c r="S258" t="str">
        <x:v>PG</x:v>
      </x:c>
      <x:c r="T258" t="n">
        <x:v>2000000</x:v>
      </x:c>
      <x:c r="U258" t="n">
        <x:v>4500000</x:v>
      </x:c>
      <x:c r="V258" t="n">
        <x:v>2</x:v>
      </x:c>
      <x:c r="W258" t="n">
        <x:v>0</x:v>
      </x:c>
    </x:row>
    <x:row r="259">
      <x:c r="J259" t="n">
        <x:v>261</x:v>
      </x:c>
      <x:c r="K259" t="str">
        <x:v>Super Size Me</x:v>
      </x:c>
      <x:c r="L259" t="n">
        <x:v>38240</x:v>
      </x:c>
      <x:c r="M259" t="n">
        <x:v>98</x:v>
      </x:c>
      <x:c r="N259" t="str">
        <x:v>Documentary</x:v>
      </x:c>
      <x:c r="O259" t="str">
        <x:v>Morgan Spurlock</x:v>
      </x:c>
      <x:c r="P259" t="str">
        <x:v>The Con</x:v>
      </x:c>
      <x:c r="Q259" t="str">
        <x:v>United States</x:v>
      </x:c>
      <x:c r="R259" t="str">
        <x:v>English</x:v>
      </x:c>
      <x:c r="S259" t="str">
        <x:v>12A</x:v>
      </x:c>
      <x:c r="T259" t="n">
        <x:v>65000</x:v>
      </x:c>
      <x:c r="U259" t="n">
        <x:v>29529368</x:v>
      </x:c>
      <x:c r="V259" t="n">
        <x:v>1</x:v>
      </x:c>
      <x:c r="W259" t="n">
        <x:v>0</x:v>
      </x:c>
    </x:row>
    <x:row r="260">
      <x:c r="J260" t="n">
        <x:v>262</x:v>
      </x:c>
      <x:c r="K260" t="str">
        <x:v>Kagemusha</x:v>
      </x:c>
      <x:c r="L260" t="n">
        <x:v>29337</x:v>
      </x:c>
      <x:c r="M260" t="n">
        <x:v>180</x:v>
      </x:c>
      <x:c r="N260" t="str">
        <x:v>Drama</x:v>
      </x:c>
      <x:c r="O260" t="str">
        <x:v>Akira Kurosawa</x:v>
      </x:c>
      <x:c r="P260" t="str">
        <x:v>Toho Company</x:v>
      </x:c>
      <x:c r="Q260" t="str">
        <x:v>Japan</x:v>
      </x:c>
      <x:c r="R260" t="str">
        <x:v>Japanese</x:v>
      </x:c>
      <x:c r="S260" t="str">
        <x:v>PG</x:v>
      </x:c>
      <x:c r="T260" t="n">
        <x:v>7500000</x:v>
      </x:c>
      <x:c r="U260" t="n">
        <x:v>26000000</x:v>
      </x:c>
      <x:c r="V260" t="n">
        <x:v>2</x:v>
      </x:c>
      <x:c r="W260" t="n">
        <x:v>0</x:v>
      </x:c>
    </x:row>
    <x:row r="261">
      <x:c r="J261" t="n">
        <x:v>263</x:v>
      </x:c>
      <x:c r="K261" t="str">
        <x:v>Ran</x:v>
      </x:c>
      <x:c r="L261" t="n">
        <x:v>31198</x:v>
      </x:c>
      <x:c r="M261" t="n">
        <x:v>162</x:v>
      </x:c>
      <x:c r="N261" t="str">
        <x:v>Drama</x:v>
      </x:c>
      <x:c r="O261" t="str">
        <x:v>Akira Kurosawa</x:v>
      </x:c>
      <x:c r="P261" t="str">
        <x:v>Greenwich Film Productions</x:v>
      </x:c>
      <x:c r="Q261" t="str">
        <x:v>Japan</x:v>
      </x:c>
      <x:c r="R261" t="str">
        <x:v>Japanese</x:v>
      </x:c>
      <x:c r="S261" t="n">
        <x:v>15</x:v>
      </x:c>
      <x:c r="T261" t="n">
        <x:v>12000000</x:v>
      </x:c>
      <x:c r="U261" t="n">
        <x:v>15000000</x:v>
      </x:c>
      <x:c r="V261" t="n">
        <x:v>4</x:v>
      </x:c>
      <x:c r="W261" t="n">
        <x:v>1</x:v>
      </x:c>
    </x:row>
    <x:row r="262">
      <x:c r="J262" t="n">
        <x:v>264</x:v>
      </x:c>
      <x:c r="K262" t="str">
        <x:v>Sunshine</x:v>
      </x:c>
      <x:c r="L262" t="n">
        <x:v>39178</x:v>
      </x:c>
      <x:c r="M262" t="n">
        <x:v>107</x:v>
      </x:c>
      <x:c r="N262" t="str">
        <x:v>Science Fiction</x:v>
      </x:c>
      <x:c r="O262" t="str">
        <x:v>Danny Boyle</x:v>
      </x:c>
      <x:c r="P262" t="str">
        <x:v>DNA Films</x:v>
      </x:c>
      <x:c r="Q262" t="str">
        <x:v>United Kingdom</x:v>
      </x:c>
      <x:c r="R262" t="str">
        <x:v>English</x:v>
      </x:c>
      <x:c r="S262" t="n">
        <x:v>15</x:v>
      </x:c>
      <x:c r="T262" t="n">
        <x:v>40000000</x:v>
      </x:c>
      <x:c r="U262" t="n">
        <x:v>32017803</x:v>
      </x:c>
      <x:c r="V262" t="n">
        <x:v>0</x:v>
      </x:c>
      <x:c r="W262" t="n">
        <x:v>0</x:v>
      </x:c>
    </x:row>
    <x:row r="263">
      <x:c r="J263" t="n">
        <x:v>265</x:v>
      </x:c>
      <x:c r="K263" t="str">
        <x:v>Once Were Warriors</x:v>
      </x:c>
      <x:c r="L263" t="n">
        <x:v>34803</x:v>
      </x:c>
      <x:c r="M263" t="n">
        <x:v>102</x:v>
      </x:c>
      <x:c r="N263" t="str">
        <x:v>Drama</x:v>
      </x:c>
      <x:c r="O263" t="str">
        <x:v>Lee Tamahori</x:v>
      </x:c>
      <x:c r="P263" t="str">
        <x:v>Communicado Productions</x:v>
      </x:c>
      <x:c r="Q263" t="str">
        <x:v>New Zealand</x:v>
      </x:c>
      <x:c r="R263" t="str">
        <x:v>English</x:v>
      </x:c>
      <x:c r="S263" t="n">
        <x:v>18</x:v>
      </x:c>
      <x:c r="T263" t="n">
        <x:v>1000000</x:v>
      </x:c>
      <x:c r="U263" t="n">
        <x:v>1608570</x:v>
      </x:c>
      <x:c r="V263" t="n">
        <x:v>0</x:v>
      </x:c>
      <x:c r="W263" t="n">
        <x:v>0</x:v>
      </x:c>
    </x:row>
    <x:row r="264">
      <x:c r="J264" t="n">
        <x:v>266</x:v>
      </x:c>
      <x:c r="K264" t="str">
        <x:v>Flushed Away</x:v>
      </x:c>
      <x:c r="L264" t="n">
        <x:v>39024</x:v>
      </x:c>
      <x:c r="M264" t="n">
        <x:v>85</x:v>
      </x:c>
      <x:c r="N264" t="str">
        <x:v>Animation</x:v>
      </x:c>
      <x:c r="O264" t="str">
        <x:v>David Bowers</x:v>
      </x:c>
      <x:c r="P264" t="str">
        <x:v>Aardman Animations</x:v>
      </x:c>
      <x:c r="Q264" t="str">
        <x:v>United Kingdom</x:v>
      </x:c>
      <x:c r="R264" t="str">
        <x:v>English</x:v>
      </x:c>
      <x:c r="S264" t="str">
        <x:v>PG</x:v>
      </x:c>
      <x:c r="T264" t="n">
        <x:v>149000000</x:v>
      </x:c>
      <x:c r="U264" t="n">
        <x:v>178120010</x:v>
      </x:c>
      <x:c r="V264" t="n">
        <x:v>0</x:v>
      </x:c>
      <x:c r="W264" t="n">
        <x:v>0</x:v>
      </x:c>
    </x:row>
    <x:row r="265">
      <x:c r="J265" t="n">
        <x:v>267</x:v>
      </x:c>
      <x:c r="K265" t="str">
        <x:v>Indiana Jones and the Kingdom of the Crystal Skull</x:v>
      </x:c>
      <x:c r="L265" t="n">
        <x:v>39590</x:v>
      </x:c>
      <x:c r="M265" t="n">
        <x:v>122</x:v>
      </x:c>
      <x:c r="N265" t="str">
        <x:v>Adventure</x:v>
      </x:c>
      <x:c r="O265" t="str">
        <x:v>Steven Spielberg</x:v>
      </x:c>
      <x:c r="P265" t="str">
        <x:v>Lucasfilm</x:v>
      </x:c>
      <x:c r="Q265" t="str">
        <x:v>United States</x:v>
      </x:c>
      <x:c r="R265" t="str">
        <x:v>English</x:v>
      </x:c>
      <x:c r="S265" t="str">
        <x:v>12A</x:v>
      </x:c>
      <x:c r="T265" t="n">
        <x:v>185000000</x:v>
      </x:c>
      <x:c r="U265" t="n">
        <x:v>786600000</x:v>
      </x:c>
      <x:c r="V265" t="n">
        <x:v>0</x:v>
      </x:c>
      <x:c r="W265" t="n">
        <x:v>0</x:v>
      </x:c>
    </x:row>
    <x:row r="266">
      <x:c r="J266" t="n">
        <x:v>270</x:v>
      </x:c>
      <x:c r="K266" t="str">
        <x:v>Transformers: Age of Extinction</x:v>
      </x:c>
      <x:c r="L266" t="n">
        <x:v>41817</x:v>
      </x:c>
      <x:c r="M266" t="n">
        <x:v>165</x:v>
      </x:c>
      <x:c r="N266" t="str">
        <x:v>Science Fiction</x:v>
      </x:c>
      <x:c r="O266" t="str">
        <x:v>Michael Bay</x:v>
      </x:c>
      <x:c r="P266" t="str">
        <x:v>di Bonaventura Pictures</x:v>
      </x:c>
      <x:c r="Q266" t="str">
        <x:v>United States</x:v>
      </x:c>
      <x:c r="R266" t="str">
        <x:v>English</x:v>
      </x:c>
      <x:c r="S266" t="str">
        <x:v>12A</x:v>
      </x:c>
      <x:c r="T266" t="n">
        <x:v>210000000</x:v>
      </x:c>
      <x:c r="U266" t="n">
        <x:v>1091000000</x:v>
      </x:c>
      <x:c r="V266" t="n">
        <x:v>0</x:v>
      </x:c>
      <x:c r="W266" t="n">
        <x:v>0</x:v>
      </x:c>
    </x:row>
    <x:row r="267">
      <x:c r="J267" t="n">
        <x:v>271</x:v>
      </x:c>
      <x:c r="K267" t="str">
        <x:v>The Hobbit: The Battle of the Five Armies</x:v>
      </x:c>
      <x:c r="L267" t="n">
        <x:v>41974</x:v>
      </x:c>
      <x:c r="M267" t="n">
        <x:v>174</x:v>
      </x:c>
      <x:c r="N267" t="str">
        <x:v>Fantasy</x:v>
      </x:c>
      <x:c r="O267" t="str">
        <x:v>Peter Jackson</x:v>
      </x:c>
      <x:c r="P267" t="str">
        <x:v>New Line Cinema</x:v>
      </x:c>
      <x:c r="Q267" t="str">
        <x:v>New Zealand</x:v>
      </x:c>
      <x:c r="R267" t="str">
        <x:v>English</x:v>
      </x:c>
      <x:c r="S267" t="str">
        <x:v>12A</x:v>
      </x:c>
      <x:c r="T267" t="n">
        <x:v>250000000</x:v>
      </x:c>
      <x:c r="U267" t="n">
        <x:v>955100000</x:v>
      </x:c>
      <x:c r="V267" t="n">
        <x:v>1</x:v>
      </x:c>
      <x:c r="W267" t="n">
        <x:v>0</x:v>
      </x:c>
    </x:row>
    <x:row r="268">
      <x:c r="J268" t="n">
        <x:v>272</x:v>
      </x:c>
      <x:c r="K268" t="str">
        <x:v>Guardians of the Galaxy</x:v>
      </x:c>
      <x:c r="L268" t="n">
        <x:v>41852</x:v>
      </x:c>
      <x:c r="M268" t="n">
        <x:v>122</x:v>
      </x:c>
      <x:c r="N268" t="str">
        <x:v>Science Fiction</x:v>
      </x:c>
      <x:c r="O268" t="str">
        <x:v>James Gunn</x:v>
      </x:c>
      <x:c r="P268" t="str">
        <x:v>Marvel Entertainment</x:v>
      </x:c>
      <x:c r="Q268" t="str">
        <x:v>United States</x:v>
      </x:c>
      <x:c r="R268" t="str">
        <x:v>English</x:v>
      </x:c>
      <x:c r="S268" t="str">
        <x:v>12A</x:v>
      </x:c>
      <x:c r="T268" t="n">
        <x:v>195900000</x:v>
      </x:c>
      <x:c r="U268" t="n">
        <x:v>774200000</x:v>
      </x:c>
      <x:c r="V268" t="n">
        <x:v>2</x:v>
      </x:c>
      <x:c r="W268" t="n">
        <x:v>0</x:v>
      </x:c>
    </x:row>
    <x:row r="269">
      <x:c r="J269" t="n">
        <x:v>273</x:v>
      </x:c>
      <x:c r="K269" t="str">
        <x:v>Maleficent</x:v>
      </x:c>
      <x:c r="L269" t="n">
        <x:v>41787</x:v>
      </x:c>
      <x:c r="M269" t="n">
        <x:v>98</x:v>
      </x:c>
      <x:c r="N269" t="str">
        <x:v>Fantasy</x:v>
      </x:c>
      <x:c r="O269" t="str">
        <x:v>Robert Stromberg</x:v>
      </x:c>
      <x:c r="P269" t="str">
        <x:v>Walt Disney Pictures</x:v>
      </x:c>
      <x:c r="Q269" t="str">
        <x:v>United States</x:v>
      </x:c>
      <x:c r="R269" t="str">
        <x:v>English</x:v>
      </x:c>
      <x:c r="S269" t="str">
        <x:v>PG</x:v>
      </x:c>
      <x:c r="T269" t="n">
        <x:v>180000000</x:v>
      </x:c>
      <x:c r="U269" t="n">
        <x:v>758400000</x:v>
      </x:c>
      <x:c r="V269" t="n">
        <x:v>1</x:v>
      </x:c>
      <x:c r="W269" t="n">
        <x:v>0</x:v>
      </x:c>
    </x:row>
    <x:row r="270">
      <x:c r="J270" t="n">
        <x:v>274</x:v>
      </x:c>
      <x:c r="K270" t="str">
        <x:v>X-Men: Days of Future Past</x:v>
      </x:c>
      <x:c r="L270" t="n">
        <x:v>41781</x:v>
      </x:c>
      <x:c r="M270" t="n">
        <x:v>131</x:v>
      </x:c>
      <x:c r="N270" t="str">
        <x:v>Action</x:v>
      </x:c>
      <x:c r="O270" t="str">
        <x:v>Bryan Singer</x:v>
      </x:c>
      <x:c r="P270" t="str">
        <x:v>Marvel Entertainment</x:v>
      </x:c>
      <x:c r="Q270" t="str">
        <x:v>United States</x:v>
      </x:c>
      <x:c r="R270" t="str">
        <x:v>English</x:v>
      </x:c>
      <x:c r="S270" t="str">
        <x:v>12A</x:v>
      </x:c>
      <x:c r="T270" t="n">
        <x:v>200000000</x:v>
      </x:c>
      <x:c r="U270" t="n">
        <x:v>748100000</x:v>
      </x:c>
      <x:c r="V270" t="n">
        <x:v>0</x:v>
      </x:c>
      <x:c r="W270" t="n">
        <x:v>0</x:v>
      </x:c>
    </x:row>
    <x:row r="271">
      <x:c r="J271" t="n">
        <x:v>275</x:v>
      </x:c>
      <x:c r="K271" t="str">
        <x:v>Captain America: The Winter Soldier</x:v>
      </x:c>
      <x:c r="L271" t="n">
        <x:v>41733</x:v>
      </x:c>
      <x:c r="M271" t="n">
        <x:v>136</x:v>
      </x:c>
      <x:c r="N271" t="str">
        <x:v>Action</x:v>
      </x:c>
      <x:c r="O271" t="str">
        <x:v>Anthony Russo</x:v>
      </x:c>
      <x:c r="P271" t="str">
        <x:v>Marvel Entertainment</x:v>
      </x:c>
      <x:c r="Q271" t="str">
        <x:v>United States</x:v>
      </x:c>
      <x:c r="R271" t="str">
        <x:v>English</x:v>
      </x:c>
      <x:c r="S271" t="str">
        <x:v>12A</x:v>
      </x:c>
      <x:c r="T271" t="n">
        <x:v>170000000</x:v>
      </x:c>
      <x:c r="U271" t="n">
        <x:v>714400000</x:v>
      </x:c>
      <x:c r="V271" t="n">
        <x:v>1</x:v>
      </x:c>
      <x:c r="W271" t="n">
        <x:v>0</x:v>
      </x:c>
    </x:row>
    <x:row r="272">
      <x:c r="J272" t="n">
        <x:v>276</x:v>
      </x:c>
      <x:c r="K272" t="str">
        <x:v>The Hunger Games: Mockingjay Part 1</x:v>
      </x:c>
      <x:c r="L272" t="n">
        <x:v>41953</x:v>
      </x:c>
      <x:c r="M272" t="n">
        <x:v>123</x:v>
      </x:c>
      <x:c r="N272" t="str">
        <x:v>Adventure</x:v>
      </x:c>
      <x:c r="O272" t="str">
        <x:v>Francis Lawrence</x:v>
      </x:c>
      <x:c r="P272" t="str">
        <x:v>Color Force</x:v>
      </x:c>
      <x:c r="Q272" t="str">
        <x:v>United States</x:v>
      </x:c>
      <x:c r="R272" t="str">
        <x:v>English</x:v>
      </x:c>
      <x:c r="S272" t="str">
        <x:v>12A</x:v>
      </x:c>
      <x:c r="T272" t="n">
        <x:v>125000000</x:v>
      </x:c>
      <x:c r="U272" t="n">
        <x:v>755400000</x:v>
      </x:c>
      <x:c r="V272" t="n">
        <x:v>0</x:v>
      </x:c>
      <x:c r="W272" t="n">
        <x:v>0</x:v>
      </x:c>
    </x:row>
    <x:row r="273">
      <x:c r="J273" t="n">
        <x:v>277</x:v>
      </x:c>
      <x:c r="K273" t="str">
        <x:v>The Amazing Spider-Man 2</x:v>
      </x:c>
      <x:c r="L273" t="n">
        <x:v>41739</x:v>
      </x:c>
      <x:c r="M273" t="n">
        <x:v>141</x:v>
      </x:c>
      <x:c r="N273" t="str">
        <x:v>Action</x:v>
      </x:c>
      <x:c r="O273" t="str">
        <x:v>Marc Webb</x:v>
      </x:c>
      <x:c r="P273" t="str">
        <x:v>Marvel Entertainment</x:v>
      </x:c>
      <x:c r="Q273" t="str">
        <x:v>United States</x:v>
      </x:c>
      <x:c r="R273" t="str">
        <x:v>English</x:v>
      </x:c>
      <x:c r="S273" t="str">
        <x:v>12A</x:v>
      </x:c>
      <x:c r="T273" t="n">
        <x:v>255000000</x:v>
      </x:c>
      <x:c r="U273" t="n">
        <x:v>709000000</x:v>
      </x:c>
      <x:c r="V273" t="n">
        <x:v>0</x:v>
      </x:c>
      <x:c r="W273" t="n">
        <x:v>0</x:v>
      </x:c>
    </x:row>
    <x:row r="274">
      <x:c r="J274" t="n">
        <x:v>278</x:v>
      </x:c>
      <x:c r="K274" t="str">
        <x:v>Dawn of the Planet of the Apes</x:v>
      </x:c>
      <x:c r="L274" t="n">
        <x:v>41831</x:v>
      </x:c>
      <x:c r="M274" t="n">
        <x:v>130</x:v>
      </x:c>
      <x:c r="N274" t="str">
        <x:v>Action</x:v>
      </x:c>
      <x:c r="O274" t="str">
        <x:v>Matt Reeves</x:v>
      </x:c>
      <x:c r="P274" t="str">
        <x:v>Chernin Entertainment</x:v>
      </x:c>
      <x:c r="Q274" t="str">
        <x:v>United States</x:v>
      </x:c>
      <x:c r="R274" t="str">
        <x:v>English</x:v>
      </x:c>
      <x:c r="S274" t="str">
        <x:v>12A</x:v>
      </x:c>
      <x:c r="T274" t="n">
        <x:v>170000000</x:v>
      </x:c>
      <x:c r="U274" t="n">
        <x:v>710600000</x:v>
      </x:c>
      <x:c r="V274" t="n">
        <x:v>1</x:v>
      </x:c>
      <x:c r="W274" t="n">
        <x:v>0</x:v>
      </x:c>
    </x:row>
    <x:row r="275">
      <x:c r="J275" t="n">
        <x:v>279</x:v>
      </x:c>
      <x:c r="K275" t="str">
        <x:v>Interstellar</x:v>
      </x:c>
      <x:c r="L275" t="n">
        <x:v>41950</x:v>
      </x:c>
      <x:c r="M275" t="n">
        <x:v>169</x:v>
      </x:c>
      <x:c r="N275" t="str">
        <x:v>Science Fiction</x:v>
      </x:c>
      <x:c r="O275" t="str">
        <x:v>Christopher Nolan</x:v>
      </x:c>
      <x:c r="P275" t="str">
        <x:v>Legendary Pictures</x:v>
      </x:c>
      <x:c r="Q275" t="str">
        <x:v>United States</x:v>
      </x:c>
      <x:c r="R275" t="str">
        <x:v>English</x:v>
      </x:c>
      <x:c r="S275" t="str">
        <x:v>12A</x:v>
      </x:c>
      <x:c r="T275" t="n">
        <x:v>165000000</x:v>
      </x:c>
      <x:c r="U275" t="n">
        <x:v>675100000</x:v>
      </x:c>
      <x:c r="V275" t="n">
        <x:v>5</x:v>
      </x:c>
      <x:c r="W275" t="n">
        <x:v>1</x:v>
      </x:c>
    </x:row>
    <x:row r="276">
      <x:c r="J276" t="n">
        <x:v>280</x:v>
      </x:c>
      <x:c r="K276" t="str">
        <x:v>Frozen</x:v>
      </x:c>
      <x:c r="L276" t="n">
        <x:v>41605</x:v>
      </x:c>
      <x:c r="M276" t="n">
        <x:v>102</x:v>
      </x:c>
      <x:c r="N276" t="str">
        <x:v>Animation</x:v>
      </x:c>
      <x:c r="O276" t="str">
        <x:v>Chris Buck</x:v>
      </x:c>
      <x:c r="P276" t="str">
        <x:v>Walt Disney Pictures</x:v>
      </x:c>
      <x:c r="Q276" t="str">
        <x:v>United States</x:v>
      </x:c>
      <x:c r="R276" t="str">
        <x:v>English</x:v>
      </x:c>
      <x:c r="S276" t="str">
        <x:v>PG</x:v>
      </x:c>
      <x:c r="T276" t="n">
        <x:v>150000000</x:v>
      </x:c>
      <x:c r="U276" t="n">
        <x:v>1276000000</x:v>
      </x:c>
      <x:c r="V276" t="n">
        <x:v>2</x:v>
      </x:c>
      <x:c r="W276" t="n">
        <x:v>2</x:v>
      </x:c>
    </x:row>
    <x:row r="277">
      <x:c r="J277" t="n">
        <x:v>281</x:v>
      </x:c>
      <x:c r="K277" t="str">
        <x:v>Iron Man 3</x:v>
      </x:c>
      <x:c r="L277" t="n">
        <x:v>41397</x:v>
      </x:c>
      <x:c r="M277" t="n">
        <x:v>130</x:v>
      </x:c>
      <x:c r="N277" t="str">
        <x:v>Action</x:v>
      </x:c>
      <x:c r="O277" t="str">
        <x:v>Shane Black</x:v>
      </x:c>
      <x:c r="P277" t="str">
        <x:v>Marvel Entertainment</x:v>
      </x:c>
      <x:c r="Q277" t="str">
        <x:v>United States</x:v>
      </x:c>
      <x:c r="R277" t="str">
        <x:v>English</x:v>
      </x:c>
      <x:c r="S277" t="str">
        <x:v>12A</x:v>
      </x:c>
      <x:c r="T277" t="n">
        <x:v>200000000</x:v>
      </x:c>
      <x:c r="U277" t="n">
        <x:v>1215000000</x:v>
      </x:c>
      <x:c r="V277" t="n">
        <x:v>1</x:v>
      </x:c>
      <x:c r="W277" t="n">
        <x:v>0</x:v>
      </x:c>
    </x:row>
    <x:row r="278">
      <x:c r="J278" t="n">
        <x:v>282</x:v>
      </x:c>
      <x:c r="K278" t="str">
        <x:v>Despicable Me 2</x:v>
      </x:c>
      <x:c r="L278" t="n">
        <x:v>41458</x:v>
      </x:c>
      <x:c r="M278" t="n">
        <x:v>98</x:v>
      </x:c>
      <x:c r="N278" t="str">
        <x:v>Animation</x:v>
      </x:c>
      <x:c r="O278" t="str">
        <x:v>Pierre Coffin</x:v>
      </x:c>
      <x:c r="P278" t="str">
        <x:v>Illumination Entertainment</x:v>
      </x:c>
      <x:c r="Q278" t="str">
        <x:v>United States</x:v>
      </x:c>
      <x:c r="R278" t="str">
        <x:v>English</x:v>
      </x:c>
      <x:c r="S278" t="str">
        <x:v>U</x:v>
      </x:c>
      <x:c r="T278" t="n">
        <x:v>76000000</x:v>
      </x:c>
      <x:c r="U278" t="n">
        <x:v>970800000</x:v>
      </x:c>
      <x:c r="V278" t="n">
        <x:v>2</x:v>
      </x:c>
      <x:c r="W278" t="n">
        <x:v>0</x:v>
      </x:c>
    </x:row>
    <x:row r="279">
      <x:c r="J279" t="n">
        <x:v>283</x:v>
      </x:c>
      <x:c r="K279" t="str">
        <x:v>The Hobbit: The Desolation of Smaug</x:v>
      </x:c>
      <x:c r="L279" t="n">
        <x:v>41621</x:v>
      </x:c>
      <x:c r="M279" t="n">
        <x:v>161</x:v>
      </x:c>
      <x:c r="N279" t="str">
        <x:v>Fantasy</x:v>
      </x:c>
      <x:c r="O279" t="str">
        <x:v>Peter Jackson</x:v>
      </x:c>
      <x:c r="P279" t="str">
        <x:v>WingNut Films</x:v>
      </x:c>
      <x:c r="Q279" t="str">
        <x:v>New Zealand</x:v>
      </x:c>
      <x:c r="R279" t="str">
        <x:v>English</x:v>
      </x:c>
      <x:c r="S279" t="str">
        <x:v>12A</x:v>
      </x:c>
      <x:c r="T279" t="n">
        <x:v>225000000</x:v>
      </x:c>
      <x:c r="U279" t="n">
        <x:v>958400000</x:v>
      </x:c>
      <x:c r="V279" t="n">
        <x:v>3</x:v>
      </x:c>
      <x:c r="W279" t="n">
        <x:v>0</x:v>
      </x:c>
    </x:row>
    <x:row r="280">
      <x:c r="J280" t="n">
        <x:v>284</x:v>
      </x:c>
      <x:c r="K280" t="str">
        <x:v>The Hunger Games: Catching Fire</x:v>
      </x:c>
      <x:c r="L280" t="n">
        <x:v>41589</x:v>
      </x:c>
      <x:c r="M280" t="n">
        <x:v>146</x:v>
      </x:c>
      <x:c r="N280" t="str">
        <x:v>Adventure</x:v>
      </x:c>
      <x:c r="O280" t="str">
        <x:v>Francis Lawrence</x:v>
      </x:c>
      <x:c r="P280" t="str">
        <x:v>Color Force</x:v>
      </x:c>
      <x:c r="Q280" t="str">
        <x:v>United States</x:v>
      </x:c>
      <x:c r="R280" t="str">
        <x:v>English</x:v>
      </x:c>
      <x:c r="S280" t="str">
        <x:v>12A</x:v>
      </x:c>
      <x:c r="T280" t="n">
        <x:v>130000000</x:v>
      </x:c>
      <x:c r="U280" t="n">
        <x:v>865000000</x:v>
      </x:c>
      <x:c r="V280" t="n">
        <x:v>0</x:v>
      </x:c>
      <x:c r="W280" t="n">
        <x:v>0</x:v>
      </x:c>
    </x:row>
    <x:row r="281">
      <x:c r="J281" t="n">
        <x:v>285</x:v>
      </x:c>
      <x:c r="K281" t="str">
        <x:v>Fast &amp; Furious 6</x:v>
      </x:c>
      <x:c r="L281" t="n">
        <x:v>41401</x:v>
      </x:c>
      <x:c r="M281" t="n">
        <x:v>130</x:v>
      </x:c>
      <x:c r="N281" t="str">
        <x:v>Action</x:v>
      </x:c>
      <x:c r="O281" t="str">
        <x:v>Justin Lin</x:v>
      </x:c>
      <x:c r="P281" t="str">
        <x:v>Original Film</x:v>
      </x:c>
      <x:c r="Q281" t="str">
        <x:v>United States</x:v>
      </x:c>
      <x:c r="R281" t="str">
        <x:v>English</x:v>
      </x:c>
      <x:c r="S281" t="str">
        <x:v>12A</x:v>
      </x:c>
      <x:c r="T281" t="n">
        <x:v>160000000</x:v>
      </x:c>
      <x:c r="U281" t="n">
        <x:v>788700000</x:v>
      </x:c>
      <x:c r="V281" t="n">
        <x:v>0</x:v>
      </x:c>
      <x:c r="W281" t="n">
        <x:v>0</x:v>
      </x:c>
    </x:row>
    <x:row r="282">
      <x:c r="J282" t="n">
        <x:v>286</x:v>
      </x:c>
      <x:c r="K282" t="str">
        <x:v>Monsters University</x:v>
      </x:c>
      <x:c r="L282" t="n">
        <x:v>41446</x:v>
      </x:c>
      <x:c r="M282" t="n">
        <x:v>104</x:v>
      </x:c>
      <x:c r="N282" t="str">
        <x:v>Animation</x:v>
      </x:c>
      <x:c r="O282" t="str">
        <x:v>Dan Scanlon</x:v>
      </x:c>
      <x:c r="P282" t="str">
        <x:v>Pixar Animation Studios</x:v>
      </x:c>
      <x:c r="Q282" t="str">
        <x:v>United States</x:v>
      </x:c>
      <x:c r="R282" t="str">
        <x:v>English</x:v>
      </x:c>
      <x:c r="S282" t="str">
        <x:v>U</x:v>
      </x:c>
      <x:c r="T282" t="n">
        <x:v>200000000</x:v>
      </x:c>
      <x:c r="U282" t="n">
        <x:v>743600000</x:v>
      </x:c>
      <x:c r="V282" t="n">
        <x:v>0</x:v>
      </x:c>
      <x:c r="W282" t="n">
        <x:v>0</x:v>
      </x:c>
    </x:row>
    <x:row r="283">
      <x:c r="J283" t="n">
        <x:v>287</x:v>
      </x:c>
      <x:c r="K283" t="str">
        <x:v>Gravity</x:v>
      </x:c>
      <x:c r="L283" t="n">
        <x:v>41551</x:v>
      </x:c>
      <x:c r="M283" t="n">
        <x:v>91</x:v>
      </x:c>
      <x:c r="N283" t="str">
        <x:v>Science Fiction</x:v>
      </x:c>
      <x:c r="O283" t="str">
        <x:v>Alfonso Cuaron</x:v>
      </x:c>
      <x:c r="P283" t="str">
        <x:v>Heyday Films</x:v>
      </x:c>
      <x:c r="Q283" t="str">
        <x:v>United States</x:v>
      </x:c>
      <x:c r="R283" t="str">
        <x:v>English</x:v>
      </x:c>
      <x:c r="S283" t="str">
        <x:v>12A</x:v>
      </x:c>
      <x:c r="T283" t="n">
        <x:v>100000000</x:v>
      </x:c>
      <x:c r="U283" t="n">
        <x:v>723200000</x:v>
      </x:c>
      <x:c r="V283" t="n">
        <x:v>10</x:v>
      </x:c>
      <x:c r="W283" t="n">
        <x:v>7</x:v>
      </x:c>
    </x:row>
    <x:row r="284">
      <x:c r="J284" t="n">
        <x:v>288</x:v>
      </x:c>
      <x:c r="K284" t="str">
        <x:v>Man of Steel</x:v>
      </x:c>
      <x:c r="L284" t="n">
        <x:v>41439</x:v>
      </x:c>
      <x:c r="M284" t="n">
        <x:v>143</x:v>
      </x:c>
      <x:c r="N284" t="str">
        <x:v>Action</x:v>
      </x:c>
      <x:c r="O284" t="str">
        <x:v>Zack Snyder</x:v>
      </x:c>
      <x:c r="P284" t="str">
        <x:v>Legendary Pictures</x:v>
      </x:c>
      <x:c r="Q284" t="str">
        <x:v>United States</x:v>
      </x:c>
      <x:c r="R284" t="str">
        <x:v>English</x:v>
      </x:c>
      <x:c r="S284" t="str">
        <x:v>12A</x:v>
      </x:c>
      <x:c r="T284" t="n">
        <x:v>225000000</x:v>
      </x:c>
      <x:c r="U284" t="n">
        <x:v>668000000</x:v>
      </x:c>
      <x:c r="V284" t="n">
        <x:v>0</x:v>
      </x:c>
      <x:c r="W284" t="n">
        <x:v>0</x:v>
      </x:c>
    </x:row>
    <x:row r="285">
      <x:c r="J285" t="n">
        <x:v>289</x:v>
      </x:c>
      <x:c r="K285" t="str">
        <x:v>Thor: The Dark World</x:v>
      </x:c>
      <x:c r="L285" t="n">
        <x:v>41569</x:v>
      </x:c>
      <x:c r="M285" t="n">
        <x:v>112</x:v>
      </x:c>
      <x:c r="N285" t="str">
        <x:v>Action</x:v>
      </x:c>
      <x:c r="O285" t="str">
        <x:v>Alan Taylor</x:v>
      </x:c>
      <x:c r="P285" t="str">
        <x:v>Marvel Entertainment</x:v>
      </x:c>
      <x:c r="Q285" t="str">
        <x:v>United States</x:v>
      </x:c>
      <x:c r="R285" t="str">
        <x:v>English</x:v>
      </x:c>
      <x:c r="S285" t="str">
        <x:v>12A</x:v>
      </x:c>
      <x:c r="T285" t="n">
        <x:v>170000000</x:v>
      </x:c>
      <x:c r="U285" t="n">
        <x:v>644600000</x:v>
      </x:c>
      <x:c r="V285" t="n">
        <x:v>0</x:v>
      </x:c>
      <x:c r="W285" t="n">
        <x:v>0</x:v>
      </x:c>
    </x:row>
    <x:row r="286">
      <x:c r="J286" t="n">
        <x:v>290</x:v>
      </x:c>
      <x:c r="K286" t="str">
        <x:v>The Avengers</x:v>
      </x:c>
      <x:c r="L286" t="n">
        <x:v>41033</x:v>
      </x:c>
      <x:c r="M286" t="n">
        <x:v>143</x:v>
      </x:c>
      <x:c r="N286" t="str">
        <x:v>Action</x:v>
      </x:c>
      <x:c r="O286" t="str">
        <x:v>Joss Whedon</x:v>
      </x:c>
      <x:c r="P286" t="str">
        <x:v>Marvel Entertainment</x:v>
      </x:c>
      <x:c r="Q286" t="str">
        <x:v>United States</x:v>
      </x:c>
      <x:c r="R286" t="str">
        <x:v>English</x:v>
      </x:c>
      <x:c r="S286" t="str">
        <x:v>12A</x:v>
      </x:c>
      <x:c r="T286" t="n">
        <x:v>220000000</x:v>
      </x:c>
      <x:c r="U286" t="n">
        <x:v>1520000000</x:v>
      </x:c>
      <x:c r="V286" t="n">
        <x:v>1</x:v>
      </x:c>
      <x:c r="W286" t="n">
        <x:v>0</x:v>
      </x:c>
    </x:row>
    <x:row r="287">
      <x:c r="J287" t="n">
        <x:v>291</x:v>
      </x:c>
      <x:c r="K287" t="str">
        <x:v>Skyfall</x:v>
      </x:c>
      <x:c r="L287" t="n">
        <x:v>41208</x:v>
      </x:c>
      <x:c r="M287" t="n">
        <x:v>143</x:v>
      </x:c>
      <x:c r="N287" t="str">
        <x:v>Thriller</x:v>
      </x:c>
      <x:c r="O287" t="str">
        <x:v>Sam Mendes</x:v>
      </x:c>
      <x:c r="P287" t="str">
        <x:v>Eon Productions</x:v>
      </x:c>
      <x:c r="Q287" t="str">
        <x:v>United Kingdom</x:v>
      </x:c>
      <x:c r="R287" t="str">
        <x:v>English</x:v>
      </x:c>
      <x:c r="S287" t="str">
        <x:v>12A</x:v>
      </x:c>
      <x:c r="T287" t="n">
        <x:v>150000000</x:v>
      </x:c>
      <x:c r="U287" t="n">
        <x:v>1109000000</x:v>
      </x:c>
      <x:c r="V287" t="n">
        <x:v>5</x:v>
      </x:c>
      <x:c r="W287" t="n">
        <x:v>2</x:v>
      </x:c>
    </x:row>
    <x:row r="288">
      <x:c r="J288" t="n">
        <x:v>292</x:v>
      </x:c>
      <x:c r="K288" t="str">
        <x:v>The Dark Knight Rises</x:v>
      </x:c>
      <x:c r="L288" t="n">
        <x:v>41110</x:v>
      </x:c>
      <x:c r="M288" t="n">
        <x:v>165</x:v>
      </x:c>
      <x:c r="N288" t="str">
        <x:v>Action</x:v>
      </x:c>
      <x:c r="O288" t="str">
        <x:v>Christopher Nolan</x:v>
      </x:c>
      <x:c r="P288" t="str">
        <x:v>Legendary Pictures</x:v>
      </x:c>
      <x:c r="Q288" t="str">
        <x:v>United States</x:v>
      </x:c>
      <x:c r="R288" t="str">
        <x:v>English</x:v>
      </x:c>
      <x:c r="S288" t="str">
        <x:v>12A</x:v>
      </x:c>
      <x:c r="T288" t="n">
        <x:v>230000000</x:v>
      </x:c>
      <x:c r="U288" t="n">
        <x:v>1085000000</x:v>
      </x:c>
      <x:c r="V288" t="n">
        <x:v>0</x:v>
      </x:c>
      <x:c r="W288" t="n">
        <x:v>0</x:v>
      </x:c>
    </x:row>
    <x:row r="289">
      <x:c r="J289" t="n">
        <x:v>293</x:v>
      </x:c>
      <x:c r="K289" t="str">
        <x:v>The Hobbit: An Unexpected Journey</x:v>
      </x:c>
      <x:c r="L289" t="n">
        <x:v>41257</x:v>
      </x:c>
      <x:c r="M289" t="n">
        <x:v>169</x:v>
      </x:c>
      <x:c r="N289" t="str">
        <x:v>Fantasy</x:v>
      </x:c>
      <x:c r="O289" t="str">
        <x:v>Peter Jackson</x:v>
      </x:c>
      <x:c r="P289" t="str">
        <x:v>WingNut Films</x:v>
      </x:c>
      <x:c r="Q289" t="str">
        <x:v>New Zealand</x:v>
      </x:c>
      <x:c r="R289" t="str">
        <x:v>English</x:v>
      </x:c>
      <x:c r="S289" t="str">
        <x:v>12A</x:v>
      </x:c>
      <x:c r="T289" t="n">
        <x:v>200000000</x:v>
      </x:c>
      <x:c r="U289" t="n">
        <x:v>1021000000</x:v>
      </x:c>
      <x:c r="V289" t="n">
        <x:v>3</x:v>
      </x:c>
      <x:c r="W289" t="n">
        <x:v>0</x:v>
      </x:c>
    </x:row>
    <x:row r="290">
      <x:c r="J290" t="n">
        <x:v>294</x:v>
      </x:c>
      <x:c r="K290" t="str">
        <x:v>Ice Age: Continental Drift</x:v>
      </x:c>
      <x:c r="L290" t="n">
        <x:v>41087</x:v>
      </x:c>
      <x:c r="M290" t="n">
        <x:v>88</x:v>
      </x:c>
      <x:c r="N290" t="str">
        <x:v>Animation</x:v>
      </x:c>
      <x:c r="O290" t="str">
        <x:v>Mike Thurmeier</x:v>
      </x:c>
      <x:c r="P290" t="str">
        <x:v>20th Century Fox</x:v>
      </x:c>
      <x:c r="Q290" t="str">
        <x:v>United States</x:v>
      </x:c>
      <x:c r="R290" t="str">
        <x:v>English</x:v>
      </x:c>
      <x:c r="S290" t="str">
        <x:v>U</x:v>
      </x:c>
      <x:c r="T290" t="n">
        <x:v>95000000</x:v>
      </x:c>
      <x:c r="U290" t="n">
        <x:v>877200000</x:v>
      </x:c>
      <x:c r="V290" t="n">
        <x:v>0</x:v>
      </x:c>
      <x:c r="W290" t="n">
        <x:v>0</x:v>
      </x:c>
    </x:row>
    <x:row r="291">
      <x:c r="J291" t="n">
        <x:v>295</x:v>
      </x:c>
      <x:c r="K291" t="str">
        <x:v>The Twilight Saga: Breaking Dawn - Part 2</x:v>
      </x:c>
      <x:c r="L291" t="n">
        <x:v>41229</x:v>
      </x:c>
      <x:c r="M291" t="n">
        <x:v>115</x:v>
      </x:c>
      <x:c r="N291" t="str">
        <x:v>Awful</x:v>
      </x:c>
      <x:c r="O291" t="str">
        <x:v>Bill Condon</x:v>
      </x:c>
      <x:c r="P291" t="str">
        <x:v>Summit Entertainment</x:v>
      </x:c>
      <x:c r="Q291" t="str">
        <x:v>United States</x:v>
      </x:c>
      <x:c r="R291" t="str">
        <x:v>English</x:v>
      </x:c>
      <x:c r="S291" t="str">
        <x:v>12A</x:v>
      </x:c>
      <x:c r="T291" t="n">
        <x:v>120000000</x:v>
      </x:c>
      <x:c r="U291" t="n">
        <x:v>829700000</x:v>
      </x:c>
      <x:c r="V291" t="n">
        <x:v>0</x:v>
      </x:c>
      <x:c r="W291" t="n">
        <x:v>0</x:v>
      </x:c>
    </x:row>
    <x:row r="292">
      <x:c r="J292" t="n">
        <x:v>296</x:v>
      </x:c>
      <x:c r="K292" t="str">
        <x:v>The Amazing Spider-Man</x:v>
      </x:c>
      <x:c r="L292" t="n">
        <x:v>41093</x:v>
      </x:c>
      <x:c r="M292" t="n">
        <x:v>136</x:v>
      </x:c>
      <x:c r="N292" t="str">
        <x:v>Action</x:v>
      </x:c>
      <x:c r="O292" t="str">
        <x:v>Marc Webb</x:v>
      </x:c>
      <x:c r="P292" t="str">
        <x:v>Marvel Entertainment</x:v>
      </x:c>
      <x:c r="Q292" t="str">
        <x:v>United States</x:v>
      </x:c>
      <x:c r="R292" t="str">
        <x:v>English</x:v>
      </x:c>
      <x:c r="S292" t="str">
        <x:v>12A</x:v>
      </x:c>
      <x:c r="T292" t="n">
        <x:v>230000000</x:v>
      </x:c>
      <x:c r="U292" t="n">
        <x:v>757900000</x:v>
      </x:c>
      <x:c r="V292" t="n">
        <x:v>0</x:v>
      </x:c>
      <x:c r="W292" t="n">
        <x:v>0</x:v>
      </x:c>
    </x:row>
    <x:row r="293">
      <x:c r="J293" t="n">
        <x:v>297</x:v>
      </x:c>
      <x:c r="K293" t="str">
        <x:v>Madagascar 3: Europe's Most Wanted</x:v>
      </x:c>
      <x:c r="L293" t="n">
        <x:v>41068</x:v>
      </x:c>
      <x:c r="M293" t="n">
        <x:v>93</x:v>
      </x:c>
      <x:c r="N293" t="str">
        <x:v>Animation</x:v>
      </x:c>
      <x:c r="O293" t="str">
        <x:v>Eric Darnell</x:v>
      </x:c>
      <x:c r="P293" t="str">
        <x:v>Dreamworks</x:v>
      </x:c>
      <x:c r="Q293" t="str">
        <x:v>United States</x:v>
      </x:c>
      <x:c r="R293" t="str">
        <x:v>English</x:v>
      </x:c>
      <x:c r="S293" t="str">
        <x:v>PG</x:v>
      </x:c>
      <x:c r="T293" t="n">
        <x:v>145000000</x:v>
      </x:c>
      <x:c r="U293" t="n">
        <x:v>746900000</x:v>
      </x:c>
      <x:c r="V293" t="n">
        <x:v>0</x:v>
      </x:c>
      <x:c r="W293" t="n">
        <x:v>0</x:v>
      </x:c>
    </x:row>
    <x:row r="294">
      <x:c r="J294" t="n">
        <x:v>298</x:v>
      </x:c>
      <x:c r="K294" t="str">
        <x:v>The Hunger Games</x:v>
      </x:c>
      <x:c r="L294" t="n">
        <x:v>40991</x:v>
      </x:c>
      <x:c r="M294" t="n">
        <x:v>142</x:v>
      </x:c>
      <x:c r="N294" t="str">
        <x:v>Science Fiction</x:v>
      </x:c>
      <x:c r="O294" t="str">
        <x:v>Gary Ross</x:v>
      </x:c>
      <x:c r="P294" t="str">
        <x:v>Color Force</x:v>
      </x:c>
      <x:c r="Q294" t="str">
        <x:v>United States</x:v>
      </x:c>
      <x:c r="R294" t="str">
        <x:v>English</x:v>
      </x:c>
      <x:c r="S294" t="str">
        <x:v>12A</x:v>
      </x:c>
      <x:c r="T294" t="n">
        <x:v>78000000</x:v>
      </x:c>
      <x:c r="U294" t="n">
        <x:v>694400000</x:v>
      </x:c>
      <x:c r="V294" t="n">
        <x:v>0</x:v>
      </x:c>
      <x:c r="W294" t="n">
        <x:v>0</x:v>
      </x:c>
    </x:row>
    <x:row r="295">
      <x:c r="J295" t="n">
        <x:v>299</x:v>
      </x:c>
      <x:c r="K295" t="str">
        <x:v>Men in Black 3</x:v>
      </x:c>
      <x:c r="L295" t="n">
        <x:v>41054</x:v>
      </x:c>
      <x:c r="M295" t="n">
        <x:v>106</x:v>
      </x:c>
      <x:c r="N295" t="str">
        <x:v>Science Fiction</x:v>
      </x:c>
      <x:c r="O295" t="str">
        <x:v>Barry Sonnenfeld</x:v>
      </x:c>
      <x:c r="P295" t="str">
        <x:v>Amblin Entertainment</x:v>
      </x:c>
      <x:c r="Q295" t="str">
        <x:v>United States</x:v>
      </x:c>
      <x:c r="R295" t="str">
        <x:v>English</x:v>
      </x:c>
      <x:c r="S295" t="str">
        <x:v>PG</x:v>
      </x:c>
      <x:c r="T295" t="n">
        <x:v>215000000</x:v>
      </x:c>
      <x:c r="U295" t="n">
        <x:v>624000000</x:v>
      </x:c>
      <x:c r="V295" t="n">
        <x:v>0</x:v>
      </x:c>
      <x:c r="W295" t="n">
        <x:v>0</x:v>
      </x:c>
    </x:row>
    <x:row r="296">
      <x:c r="J296" t="n">
        <x:v>300</x:v>
      </x:c>
      <x:c r="K296" t="str">
        <x:v>Harry Potter and the Deathly Hallows - Part 2</x:v>
      </x:c>
      <x:c r="L296" t="n">
        <x:v>40739</x:v>
      </x:c>
      <x:c r="M296" t="n">
        <x:v>130</x:v>
      </x:c>
      <x:c r="N296" t="str">
        <x:v>Fantasy</x:v>
      </x:c>
      <x:c r="O296" t="str">
        <x:v>David Yates</x:v>
      </x:c>
      <x:c r="P296" t="str">
        <x:v>Heyday Films</x:v>
      </x:c>
      <x:c r="Q296" t="str">
        <x:v>United Kingdom</x:v>
      </x:c>
      <x:c r="R296" t="str">
        <x:v>English</x:v>
      </x:c>
      <x:c r="S296" t="str">
        <x:v>12A</x:v>
      </x:c>
      <x:c r="T296" t="n">
        <x:v>250000000</x:v>
      </x:c>
      <x:c r="U296" t="n">
        <x:v>1342000000</x:v>
      </x:c>
      <x:c r="V296" t="n">
        <x:v>3</x:v>
      </x:c>
      <x:c r="W296" t="n">
        <x:v>0</x:v>
      </x:c>
    </x:row>
    <x:row r="297">
      <x:c r="J297" t="n">
        <x:v>301</x:v>
      </x:c>
      <x:c r="K297" t="str">
        <x:v>Transformers: Dark of the Moon</x:v>
      </x:c>
      <x:c r="L297" t="n">
        <x:v>40723</x:v>
      </x:c>
      <x:c r="M297" t="n">
        <x:v>157</x:v>
      </x:c>
      <x:c r="N297" t="str">
        <x:v>Science Fiction</x:v>
      </x:c>
      <x:c r="O297" t="str">
        <x:v>Michael Bay</x:v>
      </x:c>
      <x:c r="P297" t="str">
        <x:v>di Bonaventura Pictures</x:v>
      </x:c>
      <x:c r="Q297" t="str">
        <x:v>United States</x:v>
      </x:c>
      <x:c r="R297" t="str">
        <x:v>English</x:v>
      </x:c>
      <x:c r="S297" t="str">
        <x:v>12A</x:v>
      </x:c>
      <x:c r="T297" t="n">
        <x:v>195000000</x:v>
      </x:c>
      <x:c r="U297" t="n">
        <x:v>1124000000</x:v>
      </x:c>
      <x:c r="V297" t="n">
        <x:v>3</x:v>
      </x:c>
      <x:c r="W297" t="n">
        <x:v>0</x:v>
      </x:c>
    </x:row>
    <x:row r="298">
      <x:c r="J298" t="n">
        <x:v>302</x:v>
      </x:c>
      <x:c r="K298" t="str">
        <x:v>Pirates of the Caribbean: On Stranger Tides</x:v>
      </x:c>
      <x:c r="L298" t="n">
        <x:v>40683</x:v>
      </x:c>
      <x:c r="M298" t="n">
        <x:v>137</x:v>
      </x:c>
      <x:c r="N298" t="str">
        <x:v>Adventure</x:v>
      </x:c>
      <x:c r="O298" t="str">
        <x:v>Rob Marshall</x:v>
      </x:c>
      <x:c r="P298" t="str">
        <x:v>Walt Disney Pictures</x:v>
      </x:c>
      <x:c r="Q298" t="str">
        <x:v>United States</x:v>
      </x:c>
      <x:c r="R298" t="str">
        <x:v>English</x:v>
      </x:c>
      <x:c r="S298" t="str">
        <x:v>12A</x:v>
      </x:c>
      <x:c r="T298" t="n">
        <x:v>378500000</x:v>
      </x:c>
      <x:c r="U298" t="n">
        <x:v>1046000000</x:v>
      </x:c>
      <x:c r="V298" t="n">
        <x:v>0</x:v>
      </x:c>
      <x:c r="W298" t="n">
        <x:v>0</x:v>
      </x:c>
    </x:row>
    <x:row r="299">
      <x:c r="J299" t="n">
        <x:v>303</x:v>
      </x:c>
      <x:c r="K299" t="str">
        <x:v>The Twilight Saga: Breaking Dawn - Part 1</x:v>
      </x:c>
      <x:c r="L299" t="n">
        <x:v>40865</x:v>
      </x:c>
      <x:c r="M299" t="n">
        <x:v>117</x:v>
      </x:c>
      <x:c r="N299" t="str">
        <x:v>Awful</x:v>
      </x:c>
      <x:c r="O299" t="str">
        <x:v>Bill Condon</x:v>
      </x:c>
      <x:c r="P299" t="str">
        <x:v>Temple Hill Entertainment</x:v>
      </x:c>
      <x:c r="Q299" t="str">
        <x:v>United States</x:v>
      </x:c>
      <x:c r="R299" t="str">
        <x:v>English</x:v>
      </x:c>
      <x:c r="S299" t="str">
        <x:v>12A</x:v>
      </x:c>
      <x:c r="T299" t="n">
        <x:v>110000000</x:v>
      </x:c>
      <x:c r="U299" t="n">
        <x:v>712200000</x:v>
      </x:c>
      <x:c r="V299" t="n">
        <x:v>0</x:v>
      </x:c>
      <x:c r="W299" t="n">
        <x:v>0</x:v>
      </x:c>
    </x:row>
    <x:row r="300">
      <x:c r="J300" t="n">
        <x:v>304</x:v>
      </x:c>
      <x:c r="K300" t="str">
        <x:v>Mission: Impossible - Ghost Protocol</x:v>
      </x:c>
      <x:c r="L300" t="n">
        <x:v>40893</x:v>
      </x:c>
      <x:c r="M300" t="n">
        <x:v>133</x:v>
      </x:c>
      <x:c r="N300" t="str">
        <x:v>Thriller</x:v>
      </x:c>
      <x:c r="O300" t="str">
        <x:v>Brad Bird</x:v>
      </x:c>
      <x:c r="P300" t="str">
        <x:v>Bad Robot Productions</x:v>
      </x:c>
      <x:c r="Q300" t="str">
        <x:v>United States</x:v>
      </x:c>
      <x:c r="R300" t="str">
        <x:v>English</x:v>
      </x:c>
      <x:c r="S300" t="str">
        <x:v>12A</x:v>
      </x:c>
      <x:c r="T300" t="n">
        <x:v>145000000</x:v>
      </x:c>
      <x:c r="U300" t="n">
        <x:v>694700000</x:v>
      </x:c>
      <x:c r="V300" t="n">
        <x:v>0</x:v>
      </x:c>
      <x:c r="W300" t="n">
        <x:v>0</x:v>
      </x:c>
    </x:row>
    <x:row r="301">
      <x:c r="J301" t="n">
        <x:v>305</x:v>
      </x:c>
      <x:c r="K301" t="str">
        <x:v>Kung Fu Panda 2</x:v>
      </x:c>
      <x:c r="L301" t="n">
        <x:v>40689</x:v>
      </x:c>
      <x:c r="M301" t="n">
        <x:v>90</x:v>
      </x:c>
      <x:c r="N301" t="str">
        <x:v>Animation</x:v>
      </x:c>
      <x:c r="O301" t="str">
        <x:v>Jennifer Yuh Nelson</x:v>
      </x:c>
      <x:c r="P301" t="str">
        <x:v>Dreamworks</x:v>
      </x:c>
      <x:c r="Q301" t="str">
        <x:v>United States</x:v>
      </x:c>
      <x:c r="R301" t="str">
        <x:v>English</x:v>
      </x:c>
      <x:c r="S301" t="str">
        <x:v>PG</x:v>
      </x:c>
      <x:c r="T301" t="n">
        <x:v>150000000</x:v>
      </x:c>
      <x:c r="U301" t="n">
        <x:v>665700000</x:v>
      </x:c>
      <x:c r="V301" t="n">
        <x:v>1</x:v>
      </x:c>
      <x:c r="W301" t="n">
        <x:v>0</x:v>
      </x:c>
    </x:row>
    <x:row r="302">
      <x:c r="J302" t="n">
        <x:v>306</x:v>
      </x:c>
      <x:c r="K302" t="str">
        <x:v>Fast Five</x:v>
      </x:c>
      <x:c r="L302" t="n">
        <x:v>40662</x:v>
      </x:c>
      <x:c r="M302" t="n">
        <x:v>130</x:v>
      </x:c>
      <x:c r="N302" t="str">
        <x:v>Action</x:v>
      </x:c>
      <x:c r="O302" t="str">
        <x:v>Justin Lin</x:v>
      </x:c>
      <x:c r="P302" t="str">
        <x:v>Original Film</x:v>
      </x:c>
      <x:c r="Q302" t="str">
        <x:v>United States</x:v>
      </x:c>
      <x:c r="R302" t="str">
        <x:v>English</x:v>
      </x:c>
      <x:c r="S302" t="str">
        <x:v>12A</x:v>
      </x:c>
      <x:c r="T302" t="n">
        <x:v>125000000</x:v>
      </x:c>
      <x:c r="U302" t="n">
        <x:v>626100000</x:v>
      </x:c>
      <x:c r="V302" t="n">
        <x:v>0</x:v>
      </x:c>
      <x:c r="W302" t="n">
        <x:v>0</x:v>
      </x:c>
    </x:row>
    <x:row r="303">
      <x:c r="J303" t="n">
        <x:v>307</x:v>
      </x:c>
      <x:c r="K303" t="str">
        <x:v>The Hangover Part II</x:v>
      </x:c>
      <x:c r="L303" t="n">
        <x:v>40689</x:v>
      </x:c>
      <x:c r="M303" t="n">
        <x:v>102</x:v>
      </x:c>
      <x:c r="N303" t="str">
        <x:v>Comedy</x:v>
      </x:c>
      <x:c r="O303" t="str">
        <x:v>Todd Phillips</x:v>
      </x:c>
      <x:c r="P303" t="str">
        <x:v>Legendary Pictures</x:v>
      </x:c>
      <x:c r="Q303" t="str">
        <x:v>United States</x:v>
      </x:c>
      <x:c r="R303" t="str">
        <x:v>English</x:v>
      </x:c>
      <x:c r="S303" t="n">
        <x:v>15</x:v>
      </x:c>
      <x:c r="T303" t="n">
        <x:v>80000000</x:v>
      </x:c>
      <x:c r="U303" t="n">
        <x:v>586800000</x:v>
      </x:c>
      <x:c r="V303" t="n">
        <x:v>0</x:v>
      </x:c>
      <x:c r="W303" t="n">
        <x:v>0</x:v>
      </x:c>
    </x:row>
    <x:row r="304">
      <x:c r="J304" t="n">
        <x:v>308</x:v>
      </x:c>
      <x:c r="K304" t="str">
        <x:v>The Smurfs</x:v>
      </x:c>
      <x:c r="L304" t="n">
        <x:v>40753</x:v>
      </x:c>
      <x:c r="M304" t="n">
        <x:v>103</x:v>
      </x:c>
      <x:c r="N304" t="str">
        <x:v>Animation</x:v>
      </x:c>
      <x:c r="O304" t="str">
        <x:v>Raja Gosnell</x:v>
      </x:c>
      <x:c r="P304" t="str">
        <x:v>Sony Pictures</x:v>
      </x:c>
      <x:c r="Q304" t="str">
        <x:v>United States</x:v>
      </x:c>
      <x:c r="R304" t="str">
        <x:v>English</x:v>
      </x:c>
      <x:c r="S304" t="str">
        <x:v>U</x:v>
      </x:c>
      <x:c r="T304" t="n">
        <x:v>110000000</x:v>
      </x:c>
      <x:c r="U304" t="n">
        <x:v>563700000</x:v>
      </x:c>
      <x:c r="V304" t="n">
        <x:v>0</x:v>
      </x:c>
      <x:c r="W304" t="n">
        <x:v>0</x:v>
      </x:c>
    </x:row>
    <x:row r="305">
      <x:c r="J305" t="n">
        <x:v>309</x:v>
      </x:c>
      <x:c r="K305" t="str">
        <x:v>Cars 2</x:v>
      </x:c>
      <x:c r="L305" t="n">
        <x:v>40718</x:v>
      </x:c>
      <x:c r="M305" t="n">
        <x:v>106</x:v>
      </x:c>
      <x:c r="N305" t="str">
        <x:v>Animation</x:v>
      </x:c>
      <x:c r="O305" t="str">
        <x:v>John Lasseter</x:v>
      </x:c>
      <x:c r="P305" t="str">
        <x:v>Pixar Animation Studios</x:v>
      </x:c>
      <x:c r="Q305" t="str">
        <x:v>United States</x:v>
      </x:c>
      <x:c r="R305" t="str">
        <x:v>English</x:v>
      </x:c>
      <x:c r="S305" t="str">
        <x:v>U</x:v>
      </x:c>
      <x:c r="T305" t="n">
        <x:v>200000000</x:v>
      </x:c>
      <x:c r="U305" t="n">
        <x:v>559900000</x:v>
      </x:c>
      <x:c r="V305" t="n">
        <x:v>0</x:v>
      </x:c>
      <x:c r="W305" t="n">
        <x:v>0</x:v>
      </x:c>
    </x:row>
    <x:row r="306">
      <x:c r="J306" t="n">
        <x:v>310</x:v>
      </x:c>
      <x:c r="K306" t="str">
        <x:v>Toy Story 3</x:v>
      </x:c>
      <x:c r="L306" t="n">
        <x:v>40347</x:v>
      </x:c>
      <x:c r="M306" t="n">
        <x:v>103</x:v>
      </x:c>
      <x:c r="N306" t="str">
        <x:v>Animation</x:v>
      </x:c>
      <x:c r="O306" t="str">
        <x:v>Lee Unkrich</x:v>
      </x:c>
      <x:c r="P306" t="str">
        <x:v>Pixar Animation Studios</x:v>
      </x:c>
      <x:c r="Q306" t="str">
        <x:v>United States</x:v>
      </x:c>
      <x:c r="R306" t="str">
        <x:v>English</x:v>
      </x:c>
      <x:c r="S306" t="str">
        <x:v>U</x:v>
      </x:c>
      <x:c r="T306" t="n">
        <x:v>200000000</x:v>
      </x:c>
      <x:c r="U306" t="n">
        <x:v>1063000000</x:v>
      </x:c>
      <x:c r="V306" t="n">
        <x:v>5</x:v>
      </x:c>
      <x:c r="W306" t="n">
        <x:v>2</x:v>
      </x:c>
    </x:row>
    <x:row r="307">
      <x:c r="J307" t="n">
        <x:v>311</x:v>
      </x:c>
      <x:c r="K307" t="str">
        <x:v>Alice in Wonderland</x:v>
      </x:c>
      <x:c r="L307" t="n">
        <x:v>40234</x:v>
      </x:c>
      <x:c r="M307" t="n">
        <x:v>108</x:v>
      </x:c>
      <x:c r="N307" t="str">
        <x:v>Fantasy</x:v>
      </x:c>
      <x:c r="O307" t="str">
        <x:v>Tim Burton</x:v>
      </x:c>
      <x:c r="P307" t="str">
        <x:v>Walt Disney Pictures</x:v>
      </x:c>
      <x:c r="Q307" t="str">
        <x:v>United Kingdom</x:v>
      </x:c>
      <x:c r="R307" t="str">
        <x:v>English</x:v>
      </x:c>
      <x:c r="S307" t="str">
        <x:v>PG</x:v>
      </x:c>
      <x:c r="T307" t="n">
        <x:v>150000000</x:v>
      </x:c>
      <x:c r="U307" t="n">
        <x:v>1025000000</x:v>
      </x:c>
      <x:c r="V307" t="n">
        <x:v>3</x:v>
      </x:c>
      <x:c r="W307" t="n">
        <x:v>2</x:v>
      </x:c>
    </x:row>
    <x:row r="308">
      <x:c r="J308" t="n">
        <x:v>312</x:v>
      </x:c>
      <x:c r="K308" t="str">
        <x:v>Harry Potter and the Deathly Hallows - Part 1</x:v>
      </x:c>
      <x:c r="L308" t="n">
        <x:v>40501</x:v>
      </x:c>
      <x:c r="M308" t="n">
        <x:v>146</x:v>
      </x:c>
      <x:c r="N308" t="str">
        <x:v>Fantasy</x:v>
      </x:c>
      <x:c r="O308" t="str">
        <x:v>David Yates</x:v>
      </x:c>
      <x:c r="P308" t="str">
        <x:v>Heyday Films</x:v>
      </x:c>
      <x:c r="Q308" t="str">
        <x:v>United Kingdom</x:v>
      </x:c>
      <x:c r="R308" t="str">
        <x:v>English</x:v>
      </x:c>
      <x:c r="S308" t="str">
        <x:v>12A</x:v>
      </x:c>
      <x:c r="T308" t="n">
        <x:v>250000000</x:v>
      </x:c>
      <x:c r="U308" t="n">
        <x:v>960300000</x:v>
      </x:c>
      <x:c r="V308" t="n">
        <x:v>2</x:v>
      </x:c>
      <x:c r="W308" t="n">
        <x:v>0</x:v>
      </x:c>
    </x:row>
    <x:row r="309">
      <x:c r="J309" t="n">
        <x:v>313</x:v>
      </x:c>
      <x:c r="K309" t="str">
        <x:v>Inception</x:v>
      </x:c>
      <x:c r="L309" t="n">
        <x:v>40375</x:v>
      </x:c>
      <x:c r="M309" t="n">
        <x:v>148</x:v>
      </x:c>
      <x:c r="N309" t="str">
        <x:v>Science Fiction</x:v>
      </x:c>
      <x:c r="O309" t="str">
        <x:v>Christopher Nolan</x:v>
      </x:c>
      <x:c r="P309" t="str">
        <x:v>Legendary Pictures</x:v>
      </x:c>
      <x:c r="Q309" t="str">
        <x:v>United States</x:v>
      </x:c>
      <x:c r="R309" t="str">
        <x:v>English</x:v>
      </x:c>
      <x:c r="S309" t="str">
        <x:v>12A</x:v>
      </x:c>
      <x:c r="T309" t="n">
        <x:v>160000000</x:v>
      </x:c>
      <x:c r="U309" t="n">
        <x:v>825500000</x:v>
      </x:c>
      <x:c r="V309" t="n">
        <x:v>8</x:v>
      </x:c>
      <x:c r="W309" t="n">
        <x:v>4</x:v>
      </x:c>
    </x:row>
    <x:row r="310">
      <x:c r="J310" t="n">
        <x:v>314</x:v>
      </x:c>
      <x:c r="K310" t="str">
        <x:v>Shrek Forever After</x:v>
      </x:c>
      <x:c r="L310" t="n">
        <x:v>40319</x:v>
      </x:c>
      <x:c r="M310" t="n">
        <x:v>93</x:v>
      </x:c>
      <x:c r="N310" t="str">
        <x:v>Animation</x:v>
      </x:c>
      <x:c r="O310" t="str">
        <x:v>Mike Mitchell</x:v>
      </x:c>
      <x:c r="P310" t="str">
        <x:v>Dreamworks</x:v>
      </x:c>
      <x:c r="Q310" t="str">
        <x:v>United States</x:v>
      </x:c>
      <x:c r="R310" t="str">
        <x:v>English</x:v>
      </x:c>
      <x:c r="S310" t="str">
        <x:v>U</x:v>
      </x:c>
      <x:c r="T310" t="n">
        <x:v>135000000</x:v>
      </x:c>
      <x:c r="U310" t="n">
        <x:v>753000000</x:v>
      </x:c>
      <x:c r="V310" t="n">
        <x:v>0</x:v>
      </x:c>
      <x:c r="W310" t="n">
        <x:v>0</x:v>
      </x:c>
    </x:row>
    <x:row r="311">
      <x:c r="J311" t="n">
        <x:v>315</x:v>
      </x:c>
      <x:c r="K311" t="str">
        <x:v>The Twilight Saga: Eclipse</x:v>
      </x:c>
      <x:c r="L311" t="n">
        <x:v>40359</x:v>
      </x:c>
      <x:c r="M311" t="n">
        <x:v>123</x:v>
      </x:c>
      <x:c r="N311" t="str">
        <x:v>Awful</x:v>
      </x:c>
      <x:c r="O311" t="str">
        <x:v>David Slade</x:v>
      </x:c>
      <x:c r="P311" t="str">
        <x:v>Temple Hill Entertainment</x:v>
      </x:c>
      <x:c r="Q311" t="str">
        <x:v>United States</x:v>
      </x:c>
      <x:c r="R311" t="str">
        <x:v>English</x:v>
      </x:c>
      <x:c r="S311" t="str">
        <x:v>12A</x:v>
      </x:c>
      <x:c r="T311" t="n">
        <x:v>68000000</x:v>
      </x:c>
      <x:c r="U311" t="n">
        <x:v>698500000</x:v>
      </x:c>
      <x:c r="V311" t="n">
        <x:v>0</x:v>
      </x:c>
      <x:c r="W311" t="n">
        <x:v>0</x:v>
      </x:c>
    </x:row>
    <x:row r="312">
      <x:c r="J312" t="n">
        <x:v>316</x:v>
      </x:c>
      <x:c r="K312" t="str">
        <x:v>Iron Man 2</x:v>
      </x:c>
      <x:c r="L312" t="n">
        <x:v>40305</x:v>
      </x:c>
      <x:c r="M312" t="n">
        <x:v>125</x:v>
      </x:c>
      <x:c r="N312" t="str">
        <x:v>Action</x:v>
      </x:c>
      <x:c r="O312" t="str">
        <x:v>Jon Favreau</x:v>
      </x:c>
      <x:c r="P312" t="str">
        <x:v>Marvel Entertainment</x:v>
      </x:c>
      <x:c r="Q312" t="str">
        <x:v>United States</x:v>
      </x:c>
      <x:c r="R312" t="str">
        <x:v>English</x:v>
      </x:c>
      <x:c r="S312" t="str">
        <x:v>12A</x:v>
      </x:c>
      <x:c r="T312" t="n">
        <x:v>200000000</x:v>
      </x:c>
      <x:c r="U312" t="n">
        <x:v>623900000</x:v>
      </x:c>
      <x:c r="V312" t="n">
        <x:v>1</x:v>
      </x:c>
      <x:c r="W312" t="n">
        <x:v>0</x:v>
      </x:c>
    </x:row>
    <x:row r="313">
      <x:c r="J313" t="n">
        <x:v>317</x:v>
      </x:c>
      <x:c r="K313" t="str">
        <x:v>Tangled</x:v>
      </x:c>
      <x:c r="L313" t="n">
        <x:v>40506</x:v>
      </x:c>
      <x:c r="M313" t="n">
        <x:v>100</x:v>
      </x:c>
      <x:c r="N313" t="str">
        <x:v>Animation</x:v>
      </x:c>
      <x:c r="O313" t="str">
        <x:v>Nathan Greno</x:v>
      </x:c>
      <x:c r="P313" t="str">
        <x:v>Walt Disney Pictures</x:v>
      </x:c>
      <x:c r="Q313" t="str">
        <x:v>United States</x:v>
      </x:c>
      <x:c r="R313" t="str">
        <x:v>English</x:v>
      </x:c>
      <x:c r="S313" t="str">
        <x:v>PG</x:v>
      </x:c>
      <x:c r="T313" t="n">
        <x:v>260000000</x:v>
      </x:c>
      <x:c r="U313" t="n">
        <x:v>591800000</x:v>
      </x:c>
      <x:c r="V313" t="n">
        <x:v>1</x:v>
      </x:c>
      <x:c r="W313" t="n">
        <x:v>0</x:v>
      </x:c>
    </x:row>
    <x:row r="314">
      <x:c r="J314" t="n">
        <x:v>318</x:v>
      </x:c>
      <x:c r="K314" t="str">
        <x:v>Despicable Me</x:v>
      </x:c>
      <x:c r="L314" t="n">
        <x:v>40368</x:v>
      </x:c>
      <x:c r="M314" t="n">
        <x:v>95</x:v>
      </x:c>
      <x:c r="N314" t="str">
        <x:v>Animation</x:v>
      </x:c>
      <x:c r="O314" t="str">
        <x:v>Pierre Coffin</x:v>
      </x:c>
      <x:c r="P314" t="str">
        <x:v>Illumination Entertainment</x:v>
      </x:c>
      <x:c r="Q314" t="str">
        <x:v>United States</x:v>
      </x:c>
      <x:c r="R314" t="str">
        <x:v>English</x:v>
      </x:c>
      <x:c r="S314" t="str">
        <x:v>U</x:v>
      </x:c>
      <x:c r="T314" t="n">
        <x:v>69000000</x:v>
      </x:c>
      <x:c r="U314" t="n">
        <x:v>543200000</x:v>
      </x:c>
      <x:c r="V314" t="n">
        <x:v>0</x:v>
      </x:c>
      <x:c r="W314" t="n">
        <x:v>0</x:v>
      </x:c>
    </x:row>
    <x:row r="315">
      <x:c r="J315" t="n">
        <x:v>319</x:v>
      </x:c>
      <x:c r="K315" t="str">
        <x:v>How to Train Your Dragon</x:v>
      </x:c>
      <x:c r="L315" t="n">
        <x:v>40263</x:v>
      </x:c>
      <x:c r="M315" t="n">
        <x:v>98</x:v>
      </x:c>
      <x:c r="N315" t="str">
        <x:v>Animation</x:v>
      </x:c>
      <x:c r="O315" t="str">
        <x:v>Dean DeBlois</x:v>
      </x:c>
      <x:c r="P315" t="str">
        <x:v>Dreamworks</x:v>
      </x:c>
      <x:c r="Q315" t="str">
        <x:v>United States</x:v>
      </x:c>
      <x:c r="R315" t="str">
        <x:v>English</x:v>
      </x:c>
      <x:c r="S315" t="str">
        <x:v>PG</x:v>
      </x:c>
      <x:c r="T315" t="n">
        <x:v>165000000</x:v>
      </x:c>
      <x:c r="U315" t="n">
        <x:v>494900000</x:v>
      </x:c>
      <x:c r="V315" t="n">
        <x:v>2</x:v>
      </x:c>
      <x:c r="W315" t="n">
        <x:v>0</x:v>
      </x:c>
    </x:row>
    <x:row r="316">
      <x:c r="J316" t="n">
        <x:v>320</x:v>
      </x:c>
      <x:c r="K316" t="str">
        <x:v>Avatar</x:v>
      </x:c>
      <x:c r="L316" t="n">
        <x:v>40164</x:v>
      </x:c>
      <x:c r="M316" t="n">
        <x:v>161</x:v>
      </x:c>
      <x:c r="N316" t="str">
        <x:v>Science Fiction</x:v>
      </x:c>
      <x:c r="O316" t="str">
        <x:v>James Cameron</x:v>
      </x:c>
      <x:c r="P316" t="str">
        <x:v>Lightstorm Entertainment</x:v>
      </x:c>
      <x:c r="Q316" t="str">
        <x:v>United States</x:v>
      </x:c>
      <x:c r="R316" t="str">
        <x:v>English</x:v>
      </x:c>
      <x:c r="S316" t="str">
        <x:v>12A</x:v>
      </x:c>
      <x:c r="T316" t="n">
        <x:v>237000000</x:v>
      </x:c>
      <x:c r="U316" t="n">
        <x:v>2788000000</x:v>
      </x:c>
      <x:c r="V316" t="n">
        <x:v>9</x:v>
      </x:c>
      <x:c r="W316" t="n">
        <x:v>3</x:v>
      </x:c>
    </x:row>
    <x:row r="317">
      <x:c r="J317" t="n">
        <x:v>321</x:v>
      </x:c>
      <x:c r="K317" t="str">
        <x:v>Harry Potter and the Half-Blood Prince</x:v>
      </x:c>
      <x:c r="L317" t="n">
        <x:v>40009</x:v>
      </x:c>
      <x:c r="M317" t="n">
        <x:v>153</x:v>
      </x:c>
      <x:c r="N317" t="str">
        <x:v>Fantasy</x:v>
      </x:c>
      <x:c r="O317" t="str">
        <x:v>David Yates</x:v>
      </x:c>
      <x:c r="P317" t="str">
        <x:v>Heyday Films</x:v>
      </x:c>
      <x:c r="Q317" t="str">
        <x:v>United Kingdom</x:v>
      </x:c>
      <x:c r="R317" t="str">
        <x:v>English</x:v>
      </x:c>
      <x:c r="S317" t="str">
        <x:v>12A</x:v>
      </x:c>
      <x:c r="T317" t="n">
        <x:v>250000000</x:v>
      </x:c>
      <x:c r="U317" t="n">
        <x:v>934400000</x:v>
      </x:c>
      <x:c r="V317" t="n">
        <x:v>1</x:v>
      </x:c>
      <x:c r="W317" t="n">
        <x:v>0</x:v>
      </x:c>
    </x:row>
    <x:row r="318">
      <x:c r="J318" t="n">
        <x:v>322</x:v>
      </x:c>
      <x:c r="K318" t="str">
        <x:v>Ice Age: Dawn of the Dinosaurs</x:v>
      </x:c>
      <x:c r="L318" t="n">
        <x:v>39995</x:v>
      </x:c>
      <x:c r="M318" t="n">
        <x:v>94</x:v>
      </x:c>
      <x:c r="N318" t="str">
        <x:v>Animation</x:v>
      </x:c>
      <x:c r="O318" t="str">
        <x:v>Carlos Saldanha</x:v>
      </x:c>
      <x:c r="P318" t="str">
        <x:v>20th Century Fox</x:v>
      </x:c>
      <x:c r="Q318" t="str">
        <x:v>United States</x:v>
      </x:c>
      <x:c r="R318" t="str">
        <x:v>English</x:v>
      </x:c>
      <x:c r="S318" t="str">
        <x:v>U</x:v>
      </x:c>
      <x:c r="T318" t="n">
        <x:v>90000000</x:v>
      </x:c>
      <x:c r="U318" t="n">
        <x:v>886700000</x:v>
      </x:c>
      <x:c r="V318" t="n">
        <x:v>0</x:v>
      </x:c>
      <x:c r="W318" t="n">
        <x:v>0</x:v>
      </x:c>
    </x:row>
    <x:row r="319">
      <x:c r="J319" t="n">
        <x:v>323</x:v>
      </x:c>
      <x:c r="K319" t="str">
        <x:v>Transformers: Revenge of the Fallen</x:v>
      </x:c>
      <x:c r="L319" t="n">
        <x:v>39983</x:v>
      </x:c>
      <x:c r="M319" t="n">
        <x:v>150</x:v>
      </x:c>
      <x:c r="N319" t="str">
        <x:v>Science Fiction</x:v>
      </x:c>
      <x:c r="O319" t="str">
        <x:v>Michael Bay</x:v>
      </x:c>
      <x:c r="P319" t="str">
        <x:v>di Bonaventura Pictures</x:v>
      </x:c>
      <x:c r="Q319" t="str">
        <x:v>United States</x:v>
      </x:c>
      <x:c r="R319" t="str">
        <x:v>English</x:v>
      </x:c>
      <x:c r="S319" t="str">
        <x:v>12A</x:v>
      </x:c>
      <x:c r="T319" t="n">
        <x:v>200000000</x:v>
      </x:c>
      <x:c r="U319" t="n">
        <x:v>836300000</x:v>
      </x:c>
      <x:c r="V319" t="n">
        <x:v>1</x:v>
      </x:c>
      <x:c r="W319" t="n">
        <x:v>0</x:v>
      </x:c>
    </x:row>
    <x:row r="320">
      <x:c r="J320" t="n">
        <x:v>324</x:v>
      </x:c>
      <x:c r="K320" t="n">
        <x:v>2012</x:v>
      </x:c>
      <x:c r="L320" t="n">
        <x:v>40130</x:v>
      </x:c>
      <x:c r="M320" t="n">
        <x:v>158</x:v>
      </x:c>
      <x:c r="N320" t="str">
        <x:v>Disaster</x:v>
      </x:c>
      <x:c r="O320" t="str">
        <x:v>Roland Emmerich</x:v>
      </x:c>
      <x:c r="P320" t="str">
        <x:v>Centropolis Entertainment</x:v>
      </x:c>
      <x:c r="Q320" t="str">
        <x:v>United States</x:v>
      </x:c>
      <x:c r="R320" t="str">
        <x:v>English</x:v>
      </x:c>
      <x:c r="S320" t="str">
        <x:v>12A</x:v>
      </x:c>
      <x:c r="T320" t="n">
        <x:v>200000000</x:v>
      </x:c>
      <x:c r="U320" t="n">
        <x:v>769700000</x:v>
      </x:c>
      <x:c r="V320" t="n">
        <x:v>0</x:v>
      </x:c>
      <x:c r="W320" t="n">
        <x:v>0</x:v>
      </x:c>
    </x:row>
    <x:row r="321">
      <x:c r="J321" t="n">
        <x:v>325</x:v>
      </x:c>
      <x:c r="K321" t="str">
        <x:v>Up</x:v>
      </x:c>
      <x:c r="L321" t="n">
        <x:v>39962</x:v>
      </x:c>
      <x:c r="M321" t="n">
        <x:v>96</x:v>
      </x:c>
      <x:c r="N321" t="str">
        <x:v>Animation</x:v>
      </x:c>
      <x:c r="O321" t="str">
        <x:v>Pete Docter</x:v>
      </x:c>
      <x:c r="P321" t="str">
        <x:v>Pixar Animation Studios</x:v>
      </x:c>
      <x:c r="Q321" t="str">
        <x:v>United States</x:v>
      </x:c>
      <x:c r="R321" t="str">
        <x:v>English</x:v>
      </x:c>
      <x:c r="S321" t="str">
        <x:v>U</x:v>
      </x:c>
      <x:c r="T321" t="n">
        <x:v>175000000</x:v>
      </x:c>
      <x:c r="U321" t="n">
        <x:v>731400000</x:v>
      </x:c>
      <x:c r="V321" t="n">
        <x:v>5</x:v>
      </x:c>
      <x:c r="W321" t="n">
        <x:v>2</x:v>
      </x:c>
    </x:row>
    <x:row r="322">
      <x:c r="J322" t="n">
        <x:v>326</x:v>
      </x:c>
      <x:c r="K322" t="str">
        <x:v>The Twilight Saga: New Moon</x:v>
      </x:c>
      <x:c r="L322" t="n">
        <x:v>40137</x:v>
      </x:c>
      <x:c r="M322" t="n">
        <x:v>130</x:v>
      </x:c>
      <x:c r="N322" t="str">
        <x:v>Awful</x:v>
      </x:c>
      <x:c r="O322" t="str">
        <x:v>Chris Weitz</x:v>
      </x:c>
      <x:c r="P322" t="str">
        <x:v>Temple Hill Entertainment</x:v>
      </x:c>
      <x:c r="Q322" t="str">
        <x:v>United States</x:v>
      </x:c>
      <x:c r="R322" t="str">
        <x:v>English</x:v>
      </x:c>
      <x:c r="S322" t="str">
        <x:v>12A</x:v>
      </x:c>
      <x:c r="T322" t="n">
        <x:v>50000000</x:v>
      </x:c>
      <x:c r="U322" t="n">
        <x:v>709700000</x:v>
      </x:c>
      <x:c r="V322" t="n">
        <x:v>0</x:v>
      </x:c>
      <x:c r="W322" t="n">
        <x:v>0</x:v>
      </x:c>
    </x:row>
    <x:row r="323">
      <x:c r="J323" t="n">
        <x:v>327</x:v>
      </x:c>
      <x:c r="K323" t="str">
        <x:v>Sherlock Holmes</x:v>
      </x:c>
      <x:c r="L323" t="n">
        <x:v>40173</x:v>
      </x:c>
      <x:c r="M323" t="n">
        <x:v>128</x:v>
      </x:c>
      <x:c r="N323" t="str">
        <x:v>Mystery</x:v>
      </x:c>
      <x:c r="O323" t="str">
        <x:v>Guy Ritchie</x:v>
      </x:c>
      <x:c r="P323" t="str">
        <x:v>Silver Pictures</x:v>
      </x:c>
      <x:c r="Q323" t="str">
        <x:v>United Kingdom</x:v>
      </x:c>
      <x:c r="R323" t="str">
        <x:v>English</x:v>
      </x:c>
      <x:c r="S323" t="str">
        <x:v>12A</x:v>
      </x:c>
      <x:c r="T323" t="n">
        <x:v>90000000</x:v>
      </x:c>
      <x:c r="U323" t="n">
        <x:v>524000000</x:v>
      </x:c>
      <x:c r="V323" t="n">
        <x:v>2</x:v>
      </x:c>
      <x:c r="W323" t="n">
        <x:v>0</x:v>
      </x:c>
    </x:row>
    <x:row r="324">
      <x:c r="J324" t="n">
        <x:v>328</x:v>
      </x:c>
      <x:c r="K324" t="str">
        <x:v>Angels &amp; Demons</x:v>
      </x:c>
      <x:c r="L324" t="n">
        <x:v>39948</x:v>
      </x:c>
      <x:c r="M324" t="n">
        <x:v>138</x:v>
      </x:c>
      <x:c r="N324" t="str">
        <x:v>Mystery</x:v>
      </x:c>
      <x:c r="O324" t="str">
        <x:v>Ron Howard</x:v>
      </x:c>
      <x:c r="P324" t="str">
        <x:v>Imagine Entertainment</x:v>
      </x:c>
      <x:c r="Q324" t="str">
        <x:v>United States</x:v>
      </x:c>
      <x:c r="R324" t="str">
        <x:v>English</x:v>
      </x:c>
      <x:c r="S324" t="n">
        <x:v>15</x:v>
      </x:c>
      <x:c r="T324" t="n">
        <x:v>150000000</x:v>
      </x:c>
      <x:c r="U324" t="n">
        <x:v>485900000</x:v>
      </x:c>
      <x:c r="V324" t="n">
        <x:v>0</x:v>
      </x:c>
      <x:c r="W324" t="n">
        <x:v>0</x:v>
      </x:c>
    </x:row>
    <x:row r="325">
      <x:c r="J325" t="n">
        <x:v>329</x:v>
      </x:c>
      <x:c r="K325" t="str">
        <x:v>The Hangover</x:v>
      </x:c>
      <x:c r="L325" t="n">
        <x:v>39969</x:v>
      </x:c>
      <x:c r="M325" t="n">
        <x:v>100</x:v>
      </x:c>
      <x:c r="N325" t="str">
        <x:v>Comedy</x:v>
      </x:c>
      <x:c r="O325" t="str">
        <x:v>Todd Phillips</x:v>
      </x:c>
      <x:c r="P325" t="str">
        <x:v>Legendary Pictures</x:v>
      </x:c>
      <x:c r="Q325" t="str">
        <x:v>United States</x:v>
      </x:c>
      <x:c r="R325" t="str">
        <x:v>English</x:v>
      </x:c>
      <x:c r="S325" t="n">
        <x:v>15</x:v>
      </x:c>
      <x:c r="T325" t="n">
        <x:v>35000000</x:v>
      </x:c>
      <x:c r="U325" t="n">
        <x:v>467500000</x:v>
      </x:c>
      <x:c r="V325" t="n">
        <x:v>0</x:v>
      </x:c>
      <x:c r="W325" t="n">
        <x:v>0</x:v>
      </x:c>
    </x:row>
    <x:row r="326">
      <x:c r="J326" t="n">
        <x:v>330</x:v>
      </x:c>
      <x:c r="K326" t="str">
        <x:v>The Dark Knight</x:v>
      </x:c>
      <x:c r="L326" t="n">
        <x:v>39653</x:v>
      </x:c>
      <x:c r="M326" t="n">
        <x:v>152</x:v>
      </x:c>
      <x:c r="N326" t="str">
        <x:v>Action</x:v>
      </x:c>
      <x:c r="O326" t="str">
        <x:v>Christopher Nolan</x:v>
      </x:c>
      <x:c r="P326" t="str">
        <x:v>Legendary Pictures</x:v>
      </x:c>
      <x:c r="Q326" t="str">
        <x:v>United States</x:v>
      </x:c>
      <x:c r="R326" t="str">
        <x:v>English</x:v>
      </x:c>
      <x:c r="S326" t="str">
        <x:v>12A</x:v>
      </x:c>
      <x:c r="T326" t="n">
        <x:v>185000000</x:v>
      </x:c>
      <x:c r="U326" t="n">
        <x:v>1005000000</x:v>
      </x:c>
      <x:c r="V326" t="n">
        <x:v>8</x:v>
      </x:c>
      <x:c r="W326" t="n">
        <x:v>2</x:v>
      </x:c>
    </x:row>
    <x:row r="327">
      <x:c r="J327" t="n">
        <x:v>332</x:v>
      </x:c>
      <x:c r="K327" t="str">
        <x:v>Kung Fu Panda</x:v>
      </x:c>
      <x:c r="L327" t="n">
        <x:v>39605</x:v>
      </x:c>
      <x:c r="M327" t="n">
        <x:v>92</x:v>
      </x:c>
      <x:c r="N327" t="str">
        <x:v>Animation</x:v>
      </x:c>
      <x:c r="O327" t="str">
        <x:v>Mark Osborne</x:v>
      </x:c>
      <x:c r="P327" t="str">
        <x:v>Dreamworks</x:v>
      </x:c>
      <x:c r="Q327" t="str">
        <x:v>United States</x:v>
      </x:c>
      <x:c r="R327" t="str">
        <x:v>English</x:v>
      </x:c>
      <x:c r="S327" t="str">
        <x:v>PG</x:v>
      </x:c>
      <x:c r="T327" t="n">
        <x:v>130000000</x:v>
      </x:c>
      <x:c r="U327" t="n">
        <x:v>631700000</x:v>
      </x:c>
      <x:c r="V327" t="n">
        <x:v>1</x:v>
      </x:c>
      <x:c r="W327" t="n">
        <x:v>0</x:v>
      </x:c>
    </x:row>
    <x:row r="328">
      <x:c r="J328" t="n">
        <x:v>333</x:v>
      </x:c>
      <x:c r="K328" t="str">
        <x:v>Hancock</x:v>
      </x:c>
      <x:c r="L328" t="n">
        <x:v>39631</x:v>
      </x:c>
      <x:c r="M328" t="n">
        <x:v>92</x:v>
      </x:c>
      <x:c r="N328" t="str">
        <x:v>Action</x:v>
      </x:c>
      <x:c r="O328" t="str">
        <x:v>Peter Berg</x:v>
      </x:c>
      <x:c r="P328" t="str">
        <x:v>Relativity Media</x:v>
      </x:c>
      <x:c r="Q328" t="str">
        <x:v>United States</x:v>
      </x:c>
      <x:c r="R328" t="str">
        <x:v>English</x:v>
      </x:c>
      <x:c r="S328" t="str">
        <x:v>12A</x:v>
      </x:c>
      <x:c r="T328" t="n">
        <x:v>150000000</x:v>
      </x:c>
      <x:c r="U328" t="n">
        <x:v>624300000</x:v>
      </x:c>
      <x:c r="V328" t="n">
        <x:v>0</x:v>
      </x:c>
      <x:c r="W328" t="n">
        <x:v>0</x:v>
      </x:c>
    </x:row>
    <x:row r="329">
      <x:c r="J329" t="n">
        <x:v>334</x:v>
      </x:c>
      <x:c r="K329" t="str">
        <x:v>Mamma Mia!</x:v>
      </x:c>
      <x:c r="L329" t="n">
        <x:v>39629</x:v>
      </x:c>
      <x:c r="M329" t="n">
        <x:v>109</x:v>
      </x:c>
      <x:c r="N329" t="str">
        <x:v>Musical</x:v>
      </x:c>
      <x:c r="O329" t="str">
        <x:v>Phyllida Lloyd</x:v>
      </x:c>
      <x:c r="P329" t="str">
        <x:v>Playtone Entertainment</x:v>
      </x:c>
      <x:c r="Q329" t="str">
        <x:v>United Kingdom</x:v>
      </x:c>
      <x:c r="R329" t="str">
        <x:v>English</x:v>
      </x:c>
      <x:c r="S329" t="str">
        <x:v>PG</x:v>
      </x:c>
      <x:c r="T329" t="n">
        <x:v>52000000</x:v>
      </x:c>
      <x:c r="U329" t="n">
        <x:v>609800000</x:v>
      </x:c>
      <x:c r="V329" t="n">
        <x:v>0</x:v>
      </x:c>
      <x:c r="W329" t="n">
        <x:v>0</x:v>
      </x:c>
    </x:row>
    <x:row r="330">
      <x:c r="J330" t="n">
        <x:v>335</x:v>
      </x:c>
      <x:c r="K330" t="str">
        <x:v>Madagascar: Escape 2 Africa</x:v>
      </x:c>
      <x:c r="L330" t="n">
        <x:v>39759</x:v>
      </x:c>
      <x:c r="M330" t="n">
        <x:v>89</x:v>
      </x:c>
      <x:c r="N330" t="str">
        <x:v>Animation</x:v>
      </x:c>
      <x:c r="O330" t="str">
        <x:v>Eric Darnell</x:v>
      </x:c>
      <x:c r="P330" t="str">
        <x:v>Dreamworks</x:v>
      </x:c>
      <x:c r="Q330" t="str">
        <x:v>United States</x:v>
      </x:c>
      <x:c r="R330" t="str">
        <x:v>English</x:v>
      </x:c>
      <x:c r="S330" t="str">
        <x:v>PG</x:v>
      </x:c>
      <x:c r="T330" t="n">
        <x:v>150000000</x:v>
      </x:c>
      <x:c r="U330" t="n">
        <x:v>602300000</x:v>
      </x:c>
      <x:c r="V330" t="n">
        <x:v>0</x:v>
      </x:c>
      <x:c r="W330" t="n">
        <x:v>0</x:v>
      </x:c>
    </x:row>
    <x:row r="331">
      <x:c r="J331" t="n">
        <x:v>336</x:v>
      </x:c>
      <x:c r="K331" t="str">
        <x:v>Quantum of Solace</x:v>
      </x:c>
      <x:c r="L331" t="n">
        <x:v>39752</x:v>
      </x:c>
      <x:c r="M331" t="n">
        <x:v>106</x:v>
      </x:c>
      <x:c r="N331" t="str">
        <x:v>Thriller</x:v>
      </x:c>
      <x:c r="O331" t="str">
        <x:v>Marc Forster</x:v>
      </x:c>
      <x:c r="P331" t="str">
        <x:v>Eon Productions</x:v>
      </x:c>
      <x:c r="Q331" t="str">
        <x:v>United Kingdom</x:v>
      </x:c>
      <x:c r="R331" t="str">
        <x:v>English</x:v>
      </x:c>
      <x:c r="S331" t="str">
        <x:v>12A</x:v>
      </x:c>
      <x:c r="T331" t="n">
        <x:v>200000000</x:v>
      </x:c>
      <x:c r="U331" t="n">
        <x:v>586100000</x:v>
      </x:c>
      <x:c r="V331" t="n">
        <x:v>0</x:v>
      </x:c>
      <x:c r="W331" t="n">
        <x:v>0</x:v>
      </x:c>
    </x:row>
    <x:row r="332">
      <x:c r="J332" t="n">
        <x:v>337</x:v>
      </x:c>
      <x:c r="K332" t="str">
        <x:v>Iron Man</x:v>
      </x:c>
      <x:c r="L332" t="n">
        <x:v>39570</x:v>
      </x:c>
      <x:c r="M332" t="n">
        <x:v>126</x:v>
      </x:c>
      <x:c r="N332" t="str">
        <x:v>Action</x:v>
      </x:c>
      <x:c r="O332" t="str">
        <x:v>Jon Favreau</x:v>
      </x:c>
      <x:c r="P332" t="str">
        <x:v>Marvel Entertainment</x:v>
      </x:c>
      <x:c r="Q332" t="str">
        <x:v>United States</x:v>
      </x:c>
      <x:c r="R332" t="str">
        <x:v>English</x:v>
      </x:c>
      <x:c r="S332" t="str">
        <x:v>12A</x:v>
      </x:c>
      <x:c r="T332" t="n">
        <x:v>140000000</x:v>
      </x:c>
      <x:c r="U332" t="n">
        <x:v>585200000</x:v>
      </x:c>
      <x:c r="V332" t="n">
        <x:v>2</x:v>
      </x:c>
      <x:c r="W332" t="n">
        <x:v>0</x:v>
      </x:c>
    </x:row>
    <x:row r="333">
      <x:c r="J333" t="n">
        <x:v>338</x:v>
      </x:c>
      <x:c r="K333" t="str">
        <x:v>WALL-E</x:v>
      </x:c>
      <x:c r="L333" t="n">
        <x:v>39626</x:v>
      </x:c>
      <x:c r="M333" t="n">
        <x:v>98</x:v>
      </x:c>
      <x:c r="N333" t="str">
        <x:v>Animation</x:v>
      </x:c>
      <x:c r="O333" t="str">
        <x:v>Andrew Stanton</x:v>
      </x:c>
      <x:c r="P333" t="str">
        <x:v>Pixar Animation Studios</x:v>
      </x:c>
      <x:c r="Q333" t="str">
        <x:v>United States</x:v>
      </x:c>
      <x:c r="R333" t="str">
        <x:v>English</x:v>
      </x:c>
      <x:c r="S333" t="str">
        <x:v>U</x:v>
      </x:c>
      <x:c r="T333" t="n">
        <x:v>180000000</x:v>
      </x:c>
      <x:c r="U333" t="n">
        <x:v>521300000</x:v>
      </x:c>
      <x:c r="V333" t="n">
        <x:v>6</x:v>
      </x:c>
      <x:c r="W333" t="n">
        <x:v>1</x:v>
      </x:c>
    </x:row>
    <x:row r="334">
      <x:c r="J334" t="n">
        <x:v>339</x:v>
      </x:c>
      <x:c r="K334" t="str">
        <x:v>The Chronicles of Narnia: Prince Caspian</x:v>
      </x:c>
      <x:c r="L334" t="n">
        <x:v>39584</x:v>
      </x:c>
      <x:c r="M334" t="n">
        <x:v>150</x:v>
      </x:c>
      <x:c r="N334" t="str">
        <x:v>Fantasy</x:v>
      </x:c>
      <x:c r="O334" t="str">
        <x:v>Andrew Adamson</x:v>
      </x:c>
      <x:c r="P334" t="str">
        <x:v>Walt Disney Pictures</x:v>
      </x:c>
      <x:c r="Q334" t="str">
        <x:v>United Kingdom</x:v>
      </x:c>
      <x:c r="R334" t="str">
        <x:v>English</x:v>
      </x:c>
      <x:c r="S334" t="str">
        <x:v>PG</x:v>
      </x:c>
      <x:c r="T334" t="n">
        <x:v>225000000</x:v>
      </x:c>
      <x:c r="U334" t="n">
        <x:v>419700000</x:v>
      </x:c>
      <x:c r="V334" t="n">
        <x:v>0</x:v>
      </x:c>
      <x:c r="W334" t="n">
        <x:v>0</x:v>
      </x:c>
    </x:row>
    <x:row r="335">
      <x:c r="J335" t="n">
        <x:v>340</x:v>
      </x:c>
      <x:c r="K335" t="str">
        <x:v>National Treasure: Book of Secrets</x:v>
      </x:c>
      <x:c r="L335" t="n">
        <x:v>39437</x:v>
      </x:c>
      <x:c r="M335" t="n">
        <x:v>124</x:v>
      </x:c>
      <x:c r="N335" t="str">
        <x:v>Adventure</x:v>
      </x:c>
      <x:c r="O335" t="str">
        <x:v>Jon Turteltaub</x:v>
      </x:c>
      <x:c r="P335" t="str">
        <x:v>Jerry Bruckheimer Films</x:v>
      </x:c>
      <x:c r="Q335" t="str">
        <x:v>United States</x:v>
      </x:c>
      <x:c r="R335" t="str">
        <x:v>English</x:v>
      </x:c>
      <x:c r="S335" t="str">
        <x:v>PG</x:v>
      </x:c>
      <x:c r="T335" t="n">
        <x:v>130000000</x:v>
      </x:c>
      <x:c r="U335" t="n">
        <x:v>457400000</x:v>
      </x:c>
      <x:c r="V335" t="n">
        <x:v>0</x:v>
      </x:c>
      <x:c r="W335" t="n">
        <x:v>0</x:v>
      </x:c>
    </x:row>
    <x:row r="336">
      <x:c r="J336" t="n">
        <x:v>341</x:v>
      </x:c>
      <x:c r="K336" t="str">
        <x:v>Frost/Nixon</x:v>
      </x:c>
      <x:c r="L336" t="n">
        <x:v>39736</x:v>
      </x:c>
      <x:c r="M336" t="n">
        <x:v>122</x:v>
      </x:c>
      <x:c r="N336" t="str">
        <x:v>Drama</x:v>
      </x:c>
      <x:c r="O336" t="str">
        <x:v>Ron Howard</x:v>
      </x:c>
      <x:c r="P336" t="str">
        <x:v>Imagine Entertainment</x:v>
      </x:c>
      <x:c r="Q336" t="str">
        <x:v>United States</x:v>
      </x:c>
      <x:c r="R336" t="str">
        <x:v>English</x:v>
      </x:c>
      <x:c r="S336" t="n">
        <x:v>15</x:v>
      </x:c>
      <x:c r="T336" t="n">
        <x:v>25000000</x:v>
      </x:c>
      <x:c r="U336" t="n">
        <x:v>27400000</x:v>
      </x:c>
      <x:c r="V336" t="n">
        <x:v>5</x:v>
      </x:c>
      <x:c r="W336" t="n">
        <x:v>0</x:v>
      </x:c>
    </x:row>
    <x:row r="337">
      <x:c r="J337" t="n">
        <x:v>342</x:v>
      </x:c>
      <x:c r="K337" t="str">
        <x:v>Ice Age: The Meltdown</x:v>
      </x:c>
      <x:c r="L337" t="n">
        <x:v>38807</x:v>
      </x:c>
      <x:c r="M337" t="n">
        <x:v>91</x:v>
      </x:c>
      <x:c r="N337" t="str">
        <x:v>Animation</x:v>
      </x:c>
      <x:c r="O337" t="str">
        <x:v>Carlos Saldanha</x:v>
      </x:c>
      <x:c r="P337" t="str">
        <x:v>20th Century Fox</x:v>
      </x:c>
      <x:c r="Q337" t="str">
        <x:v>United States</x:v>
      </x:c>
      <x:c r="R337" t="str">
        <x:v>English</x:v>
      </x:c>
      <x:c r="S337" t="str">
        <x:v>U</x:v>
      </x:c>
      <x:c r="T337" t="n">
        <x:v>80000000</x:v>
      </x:c>
      <x:c r="U337" t="n">
        <x:v>660900000</x:v>
      </x:c>
      <x:c r="V337" t="n">
        <x:v>0</x:v>
      </x:c>
      <x:c r="W337" t="n">
        <x:v>0</x:v>
      </x:c>
    </x:row>
    <x:row r="338">
      <x:c r="J338" t="n">
        <x:v>343</x:v>
      </x:c>
      <x:c r="K338" t="str">
        <x:v>Night at the Museum</x:v>
      </x:c>
      <x:c r="L338" t="n">
        <x:v>39073</x:v>
      </x:c>
      <x:c r="M338" t="n">
        <x:v>108</x:v>
      </x:c>
      <x:c r="N338" t="str">
        <x:v>Adventure</x:v>
      </x:c>
      <x:c r="O338" t="str">
        <x:v>Shawn Levy</x:v>
      </x:c>
      <x:c r="P338" t="str">
        <x:v>Dune Entertainment</x:v>
      </x:c>
      <x:c r="Q338" t="str">
        <x:v>United States</x:v>
      </x:c>
      <x:c r="R338" t="str">
        <x:v>English</x:v>
      </x:c>
      <x:c r="S338" t="str">
        <x:v>PG</x:v>
      </x:c>
      <x:c r="T338" t="n">
        <x:v>110000000</x:v>
      </x:c>
      <x:c r="U338" t="n">
        <x:v>574500000</x:v>
      </x:c>
      <x:c r="V338" t="n">
        <x:v>0</x:v>
      </x:c>
      <x:c r="W338" t="n">
        <x:v>0</x:v>
      </x:c>
    </x:row>
    <x:row r="339">
      <x:c r="J339" t="n">
        <x:v>344</x:v>
      </x:c>
      <x:c r="K339" t="str">
        <x:v>Cars</x:v>
      </x:c>
      <x:c r="L339" t="n">
        <x:v>38877</x:v>
      </x:c>
      <x:c r="M339" t="n">
        <x:v>116</x:v>
      </x:c>
      <x:c r="N339" t="str">
        <x:v>Animation</x:v>
      </x:c>
      <x:c r="O339" t="str">
        <x:v>John Lasseter</x:v>
      </x:c>
      <x:c r="P339" t="str">
        <x:v>Pixar Animation Studios</x:v>
      </x:c>
      <x:c r="Q339" t="str">
        <x:v>United States</x:v>
      </x:c>
      <x:c r="R339" t="str">
        <x:v>English</x:v>
      </x:c>
      <x:c r="S339" t="str">
        <x:v>PG</x:v>
      </x:c>
      <x:c r="T339" t="n">
        <x:v>120000000</x:v>
      </x:c>
      <x:c r="U339" t="n">
        <x:v>462000000</x:v>
      </x:c>
      <x:c r="V339" t="n">
        <x:v>2</x:v>
      </x:c>
      <x:c r="W339" t="n">
        <x:v>0</x:v>
      </x:c>
    </x:row>
    <x:row r="340">
      <x:c r="J340" t="n">
        <x:v>345</x:v>
      </x:c>
      <x:c r="K340" t="str">
        <x:v>Happy Feet</x:v>
      </x:c>
      <x:c r="L340" t="n">
        <x:v>39038</x:v>
      </x:c>
      <x:c r="M340" t="n">
        <x:v>108</x:v>
      </x:c>
      <x:c r="N340" t="str">
        <x:v>Animation</x:v>
      </x:c>
      <x:c r="O340" t="str">
        <x:v>George Miller</x:v>
      </x:c>
      <x:c r="P340" t="str">
        <x:v>Village Roadshow Pictures</x:v>
      </x:c>
      <x:c r="Q340" t="str">
        <x:v>Australia</x:v>
      </x:c>
      <x:c r="R340" t="str">
        <x:v>English</x:v>
      </x:c>
      <x:c r="S340" t="str">
        <x:v>U</x:v>
      </x:c>
      <x:c r="T340" t="n">
        <x:v>100000000</x:v>
      </x:c>
      <x:c r="U340" t="n">
        <x:v>384300000</x:v>
      </x:c>
      <x:c r="V340" t="n">
        <x:v>1</x:v>
      </x:c>
      <x:c r="W340" t="n">
        <x:v>1</x:v>
      </x:c>
    </x:row>
    <x:row r="341">
      <x:c r="J341" t="n">
        <x:v>346</x:v>
      </x:c>
      <x:c r="K341" t="str">
        <x:v>The Chronicles of Narnia: The Lion, the Witch and the Wardrobe</x:v>
      </x:c>
      <x:c r="L341" t="n">
        <x:v>38694</x:v>
      </x:c>
      <x:c r="M341" t="n">
        <x:v>145</x:v>
      </x:c>
      <x:c r="N341" t="str">
        <x:v>Fantasy</x:v>
      </x:c>
      <x:c r="O341" t="str">
        <x:v>Andrew Adamson</x:v>
      </x:c>
      <x:c r="P341" t="str">
        <x:v>Walden Media</x:v>
      </x:c>
      <x:c r="Q341" t="str">
        <x:v>United Kingdom</x:v>
      </x:c>
      <x:c r="R341" t="str">
        <x:v>English</x:v>
      </x:c>
      <x:c r="S341" t="str">
        <x:v>PG</x:v>
      </x:c>
      <x:c r="T341" t="n">
        <x:v>180000000</x:v>
      </x:c>
      <x:c r="U341" t="n">
        <x:v>745000000</x:v>
      </x:c>
      <x:c r="V341" t="n">
        <x:v>3</x:v>
      </x:c>
      <x:c r="W341" t="n">
        <x:v>1</x:v>
      </x:c>
    </x:row>
    <x:row r="342">
      <x:c r="J342" t="n">
        <x:v>347</x:v>
      </x:c>
      <x:c r="K342" t="str">
        <x:v>Madagascar</x:v>
      </x:c>
      <x:c r="L342" t="n">
        <x:v>38499</x:v>
      </x:c>
      <x:c r="M342" t="n">
        <x:v>86</x:v>
      </x:c>
      <x:c r="N342" t="str">
        <x:v>Animation</x:v>
      </x:c>
      <x:c r="O342" t="str">
        <x:v>Eric Darnell</x:v>
      </x:c>
      <x:c r="P342" t="str">
        <x:v>Dreamworks</x:v>
      </x:c>
      <x:c r="Q342" t="str">
        <x:v>United States</x:v>
      </x:c>
      <x:c r="R342" t="str">
        <x:v>English</x:v>
      </x:c>
      <x:c r="S342" t="str">
        <x:v>U</x:v>
      </x:c>
      <x:c r="T342" t="n">
        <x:v>75000000</x:v>
      </x:c>
      <x:c r="U342" t="n">
        <x:v>532700000</x:v>
      </x:c>
      <x:c r="V342" t="n">
        <x:v>0</x:v>
      </x:c>
      <x:c r="W342" t="n">
        <x:v>0</x:v>
      </x:c>
    </x:row>
    <x:row r="343">
      <x:c r="J343" t="n">
        <x:v>348</x:v>
      </x:c>
      <x:c r="K343" t="str">
        <x:v>Hitch</x:v>
      </x:c>
      <x:c r="L343" t="n">
        <x:v>38394</x:v>
      </x:c>
      <x:c r="M343" t="n">
        <x:v>118</x:v>
      </x:c>
      <x:c r="N343" t="str">
        <x:v>Romance</x:v>
      </x:c>
      <x:c r="O343" t="str">
        <x:v>Andy Tennant</x:v>
      </x:c>
      <x:c r="P343" t="str">
        <x:v>Overbrook Entertainment</x:v>
      </x:c>
      <x:c r="Q343" t="str">
        <x:v>United States</x:v>
      </x:c>
      <x:c r="R343" t="str">
        <x:v>English</x:v>
      </x:c>
      <x:c r="S343" t="str">
        <x:v>12A</x:v>
      </x:c>
      <x:c r="T343" t="n">
        <x:v>70000000</x:v>
      </x:c>
      <x:c r="U343" t="n">
        <x:v>368100000</x:v>
      </x:c>
      <x:c r="V343" t="n">
        <x:v>0</x:v>
      </x:c>
      <x:c r="W343" t="n">
        <x:v>0</x:v>
      </x:c>
    </x:row>
    <x:row r="344">
      <x:c r="J344" t="n">
        <x:v>349</x:v>
      </x:c>
      <x:c r="K344" t="str">
        <x:v>The Incredibles</x:v>
      </x:c>
      <x:c r="L344" t="n">
        <x:v>38296</x:v>
      </x:c>
      <x:c r="M344" t="n">
        <x:v>115</x:v>
      </x:c>
      <x:c r="N344" t="str">
        <x:v>Animation</x:v>
      </x:c>
      <x:c r="O344" t="str">
        <x:v>Brad Bird</x:v>
      </x:c>
      <x:c r="P344" t="str">
        <x:v>Pixar Animation Studios</x:v>
      </x:c>
      <x:c r="Q344" t="str">
        <x:v>United States</x:v>
      </x:c>
      <x:c r="R344" t="str">
        <x:v>English</x:v>
      </x:c>
      <x:c r="S344" t="str">
        <x:v>U</x:v>
      </x:c>
      <x:c r="T344" t="n">
        <x:v>92000000</x:v>
      </x:c>
      <x:c r="U344" t="n">
        <x:v>633000000</x:v>
      </x:c>
      <x:c r="V344" t="n">
        <x:v>4</x:v>
      </x:c>
      <x:c r="W344" t="n">
        <x:v>2</x:v>
      </x:c>
    </x:row>
    <x:row r="345">
      <x:c r="J345" t="n">
        <x:v>350</x:v>
      </x:c>
      <x:c r="K345" t="str">
        <x:v>Meet the Fockers</x:v>
      </x:c>
      <x:c r="L345" t="n">
        <x:v>38343</x:v>
      </x:c>
      <x:c r="M345" t="n">
        <x:v>115</x:v>
      </x:c>
      <x:c r="N345" t="str">
        <x:v>Comedy</x:v>
      </x:c>
      <x:c r="O345" t="str">
        <x:v>Jay Roach</x:v>
      </x:c>
      <x:c r="P345" t="str">
        <x:v>Tribeca Productions</x:v>
      </x:c>
      <x:c r="Q345" t="str">
        <x:v>United States</x:v>
      </x:c>
      <x:c r="R345" t="str">
        <x:v>English</x:v>
      </x:c>
      <x:c r="S345" t="str">
        <x:v>12A</x:v>
      </x:c>
      <x:c r="T345" t="n">
        <x:v>80000000</x:v>
      </x:c>
      <x:c r="U345" t="n">
        <x:v>516000000</x:v>
      </x:c>
      <x:c r="V345" t="n">
        <x:v>0</x:v>
      </x:c>
      <x:c r="W345" t="n">
        <x:v>0</x:v>
      </x:c>
    </x:row>
    <x:row r="346">
      <x:c r="J346" t="n">
        <x:v>351</x:v>
      </x:c>
      <x:c r="K346" t="str">
        <x:v>Shark Tale</x:v>
      </x:c>
      <x:c r="L346" t="n">
        <x:v>38261</x:v>
      </x:c>
      <x:c r="M346" t="n">
        <x:v>90</x:v>
      </x:c>
      <x:c r="N346" t="str">
        <x:v>Animation</x:v>
      </x:c>
      <x:c r="O346" t="str">
        <x:v>Vicky Jenson</x:v>
      </x:c>
      <x:c r="P346" t="str">
        <x:v>Dreamworks</x:v>
      </x:c>
      <x:c r="Q346" t="str">
        <x:v>United States</x:v>
      </x:c>
      <x:c r="R346" t="str">
        <x:v>English</x:v>
      </x:c>
      <x:c r="S346" t="str">
        <x:v>U</x:v>
      </x:c>
      <x:c r="T346" t="n">
        <x:v>75000000</x:v>
      </x:c>
      <x:c r="U346" t="n">
        <x:v>367300000</x:v>
      </x:c>
      <x:c r="V346" t="n">
        <x:v>1</x:v>
      </x:c>
      <x:c r="W346" t="n">
        <x:v>0</x:v>
      </x:c>
    </x:row>
    <x:row r="347">
      <x:c r="J347" t="n">
        <x:v>352</x:v>
      </x:c>
      <x:c r="K347" t="str">
        <x:v>Finding Nemo</x:v>
      </x:c>
      <x:c r="L347" t="n">
        <x:v>37771</x:v>
      </x:c>
      <x:c r="M347" t="n">
        <x:v>100</x:v>
      </x:c>
      <x:c r="N347" t="str">
        <x:v>Animation</x:v>
      </x:c>
      <x:c r="O347" t="str">
        <x:v>Andrew Stanton</x:v>
      </x:c>
      <x:c r="P347" t="str">
        <x:v>Pixar Animation Studios</x:v>
      </x:c>
      <x:c r="Q347" t="str">
        <x:v>United States</x:v>
      </x:c>
      <x:c r="R347" t="str">
        <x:v>English</x:v>
      </x:c>
      <x:c r="S347" t="str">
        <x:v>U</x:v>
      </x:c>
      <x:c r="T347" t="n">
        <x:v>94000000</x:v>
      </x:c>
      <x:c r="U347" t="n">
        <x:v>940300000</x:v>
      </x:c>
      <x:c r="V347" t="n">
        <x:v>4</x:v>
      </x:c>
      <x:c r="W347" t="n">
        <x:v>1</x:v>
      </x:c>
    </x:row>
    <x:row r="348">
      <x:c r="J348" t="n">
        <x:v>353</x:v>
      </x:c>
      <x:c r="K348" t="str">
        <x:v>Terminator 3: Rise of the Machines</x:v>
      </x:c>
      <x:c r="L348" t="n">
        <x:v>37804</x:v>
      </x:c>
      <x:c r="M348" t="n">
        <x:v>109</x:v>
      </x:c>
      <x:c r="N348" t="str">
        <x:v>Science Fiction</x:v>
      </x:c>
      <x:c r="O348" t="str">
        <x:v>Jonathan Mostow</x:v>
      </x:c>
      <x:c r="P348" t="str">
        <x:v>Intermedia</x:v>
      </x:c>
      <x:c r="Q348" t="str">
        <x:v>United States</x:v>
      </x:c>
      <x:c r="R348" t="str">
        <x:v>English</x:v>
      </x:c>
      <x:c r="S348" t="str">
        <x:v>12A</x:v>
      </x:c>
      <x:c r="T348" t="n">
        <x:v>187300000</x:v>
      </x:c>
      <x:c r="U348" t="n">
        <x:v>433400000</x:v>
      </x:c>
      <x:c r="V348" t="n">
        <x:v>0</x:v>
      </x:c>
      <x:c r="W348" t="n">
        <x:v>0</x:v>
      </x:c>
    </x:row>
    <x:row r="349">
      <x:c r="J349" t="n">
        <x:v>354</x:v>
      </x:c>
      <x:c r="K349" t="str">
        <x:v>Bad Boys II</x:v>
      </x:c>
      <x:c r="L349" t="n">
        <x:v>37820</x:v>
      </x:c>
      <x:c r="M349" t="n">
        <x:v>147</x:v>
      </x:c>
      <x:c r="N349" t="str">
        <x:v>Action</x:v>
      </x:c>
      <x:c r="O349" t="str">
        <x:v>Michael Bay</x:v>
      </x:c>
      <x:c r="P349" t="str">
        <x:v>Jerry Bruckheimer Films</x:v>
      </x:c>
      <x:c r="Q349" t="str">
        <x:v>United States</x:v>
      </x:c>
      <x:c r="R349" t="str">
        <x:v>English</x:v>
      </x:c>
      <x:c r="S349" t="n">
        <x:v>15</x:v>
      </x:c>
      <x:c r="T349" t="n">
        <x:v>130000000</x:v>
      </x:c>
      <x:c r="U349" t="n">
        <x:v>273300000</x:v>
      </x:c>
      <x:c r="V349" t="n">
        <x:v>0</x:v>
      </x:c>
      <x:c r="W349" t="n">
        <x:v>0</x:v>
      </x:c>
    </x:row>
    <x:row r="350">
      <x:c r="J350" t="n">
        <x:v>355</x:v>
      </x:c>
      <x:c r="K350" t="str">
        <x:v>Signs</x:v>
      </x:c>
      <x:c r="L350" t="n">
        <x:v>37470</x:v>
      </x:c>
      <x:c r="M350" t="n">
        <x:v>107</x:v>
      </x:c>
      <x:c r="N350" t="str">
        <x:v>Mystery</x:v>
      </x:c>
      <x:c r="O350" t="str">
        <x:v>M. Night Shyamalan</x:v>
      </x:c>
      <x:c r="P350" t="str">
        <x:v>Touchstone Pictures</x:v>
      </x:c>
      <x:c r="Q350" t="str">
        <x:v>United States</x:v>
      </x:c>
      <x:c r="R350" t="str">
        <x:v>English</x:v>
      </x:c>
      <x:c r="S350" t="str">
        <x:v>12A</x:v>
      </x:c>
      <x:c r="T350" t="n">
        <x:v>72000000</x:v>
      </x:c>
      <x:c r="U350" t="n">
        <x:v>408200000</x:v>
      </x:c>
      <x:c r="V350" t="n">
        <x:v>0</x:v>
      </x:c>
      <x:c r="W350" t="n">
        <x:v>0</x:v>
      </x:c>
    </x:row>
    <x:row r="351">
      <x:c r="J351" t="n">
        <x:v>356</x:v>
      </x:c>
      <x:c r="K351" t="str">
        <x:v>Ice Age</x:v>
      </x:c>
      <x:c r="L351" t="n">
        <x:v>37330</x:v>
      </x:c>
      <x:c r="M351" t="n">
        <x:v>81</x:v>
      </x:c>
      <x:c r="N351" t="str">
        <x:v>Animation</x:v>
      </x:c>
      <x:c r="O351" t="str">
        <x:v>Carlos Saldanha</x:v>
      </x:c>
      <x:c r="P351" t="str">
        <x:v>20th Century Fox</x:v>
      </x:c>
      <x:c r="Q351" t="str">
        <x:v>United States</x:v>
      </x:c>
      <x:c r="R351" t="str">
        <x:v>English</x:v>
      </x:c>
      <x:c r="S351" t="str">
        <x:v>U</x:v>
      </x:c>
      <x:c r="T351" t="n">
        <x:v>59000000</x:v>
      </x:c>
      <x:c r="U351" t="n">
        <x:v>383300000</x:v>
      </x:c>
      <x:c r="V351" t="n">
        <x:v>1</x:v>
      </x:c>
      <x:c r="W351" t="n">
        <x:v>0</x:v>
      </x:c>
    </x:row>
    <x:row r="352">
      <x:c r="J352" t="n">
        <x:v>357</x:v>
      </x:c>
      <x:c r="K352" t="str">
        <x:v>My Big Fat Greek Wedding</x:v>
      </x:c>
      <x:c r="L352" t="n">
        <x:v>37365</x:v>
      </x:c>
      <x:c r="M352" t="n">
        <x:v>95</x:v>
      </x:c>
      <x:c r="N352" t="str">
        <x:v>Comedy</x:v>
      </x:c>
      <x:c r="O352" t="str">
        <x:v>Joel Zwick</x:v>
      </x:c>
      <x:c r="P352" t="str">
        <x:v>Gold Circle Films</x:v>
      </x:c>
      <x:c r="Q352" t="str">
        <x:v>Canada</x:v>
      </x:c>
      <x:c r="R352" t="str">
        <x:v>English</x:v>
      </x:c>
      <x:c r="S352" t="str">
        <x:v>PG</x:v>
      </x:c>
      <x:c r="T352" t="n">
        <x:v>5000000</x:v>
      </x:c>
      <x:c r="U352" t="n">
        <x:v>368700000</x:v>
      </x:c>
      <x:c r="V352" t="n">
        <x:v>1</x:v>
      </x:c>
      <x:c r="W352" t="n">
        <x:v>0</x:v>
      </x:c>
    </x:row>
    <x:row r="353">
      <x:c r="J353" t="n">
        <x:v>358</x:v>
      </x:c>
      <x:c r="K353" t="str">
        <x:v>The Mummy Returns</x:v>
      </x:c>
      <x:c r="L353" t="n">
        <x:v>37015</x:v>
      </x:c>
      <x:c r="M353" t="n">
        <x:v>130</x:v>
      </x:c>
      <x:c r="N353" t="str">
        <x:v>Adventure</x:v>
      </x:c>
      <x:c r="O353" t="str">
        <x:v>Stephen Sommers</x:v>
      </x:c>
      <x:c r="P353" t="str">
        <x:v>Alphaville Films</x:v>
      </x:c>
      <x:c r="Q353" t="str">
        <x:v>United States</x:v>
      </x:c>
      <x:c r="R353" t="str">
        <x:v>English</x:v>
      </x:c>
      <x:c r="S353" t="n">
        <x:v>12</x:v>
      </x:c>
      <x:c r="T353" t="n">
        <x:v>98000000</x:v>
      </x:c>
      <x:c r="U353" t="n">
        <x:v>433000000</x:v>
      </x:c>
      <x:c r="V353" t="n">
        <x:v>0</x:v>
      </x:c>
      <x:c r="W353" t="n">
        <x:v>0</x:v>
      </x:c>
    </x:row>
    <x:row r="354">
      <x:c r="J354" t="n">
        <x:v>359</x:v>
      </x:c>
      <x:c r="K354" t="str">
        <x:v>Jurassic Park III</x:v>
      </x:c>
      <x:c r="L354" t="n">
        <x:v>37090</x:v>
      </x:c>
      <x:c r="M354" t="n">
        <x:v>92</x:v>
      </x:c>
      <x:c r="N354" t="str">
        <x:v>Adventure</x:v>
      </x:c>
      <x:c r="O354" t="str">
        <x:v>Joe Johnston</x:v>
      </x:c>
      <x:c r="P354" t="str">
        <x:v>Amblin Entertainment</x:v>
      </x:c>
      <x:c r="Q354" t="str">
        <x:v>United States</x:v>
      </x:c>
      <x:c r="R354" t="str">
        <x:v>English</x:v>
      </x:c>
      <x:c r="S354" t="str">
        <x:v>PG</x:v>
      </x:c>
      <x:c r="T354" t="n">
        <x:v>93000000</x:v>
      </x:c>
      <x:c r="U354" t="n">
        <x:v>368800000</x:v>
      </x:c>
      <x:c r="V354" t="n">
        <x:v>0</x:v>
      </x:c>
      <x:c r="W354" t="n">
        <x:v>0</x:v>
      </x:c>
    </x:row>
    <x:row r="355">
      <x:c r="J355" t="n">
        <x:v>360</x:v>
      </x:c>
      <x:c r="K355" t="str">
        <x:v>Hannibal</x:v>
      </x:c>
      <x:c r="L355" t="n">
        <x:v>36931</x:v>
      </x:c>
      <x:c r="M355" t="n">
        <x:v>132</x:v>
      </x:c>
      <x:c r="N355" t="str">
        <x:v>Thriller</x:v>
      </x:c>
      <x:c r="O355" t="str">
        <x:v>Ridley Scott</x:v>
      </x:c>
      <x:c r="P355" t="str">
        <x:v>Dino De Laurentiis Corporation</x:v>
      </x:c>
      <x:c r="Q355" t="str">
        <x:v>United States</x:v>
      </x:c>
      <x:c r="R355" t="str">
        <x:v>English</x:v>
      </x:c>
      <x:c r="S355" t="n">
        <x:v>18</x:v>
      </x:c>
      <x:c r="T355" t="n">
        <x:v>87000000</x:v>
      </x:c>
      <x:c r="U355" t="n">
        <x:v>351600000</x:v>
      </x:c>
      <x:c r="V355" t="n">
        <x:v>0</x:v>
      </x:c>
      <x:c r="W355" t="n">
        <x:v>0</x:v>
      </x:c>
    </x:row>
    <x:row r="356">
      <x:c r="J356" t="n">
        <x:v>361</x:v>
      </x:c>
      <x:c r="K356" t="str">
        <x:v>What Women Want</x:v>
      </x:c>
      <x:c r="L356" t="n">
        <x:v>36875</x:v>
      </x:c>
      <x:c r="M356" t="n">
        <x:v>127</x:v>
      </x:c>
      <x:c r="N356" t="str">
        <x:v>Comedy</x:v>
      </x:c>
      <x:c r="O356" t="str">
        <x:v>Nancy Meyers</x:v>
      </x:c>
      <x:c r="P356" t="str">
        <x:v>Icon Productions</x:v>
      </x:c>
      <x:c r="Q356" t="str">
        <x:v>United States</x:v>
      </x:c>
      <x:c r="R356" t="str">
        <x:v>English</x:v>
      </x:c>
      <x:c r="S356" t="n">
        <x:v>12</x:v>
      </x:c>
      <x:c r="T356" t="n">
        <x:v>70000000</x:v>
      </x:c>
      <x:c r="U356" t="n">
        <x:v>374111707</x:v>
      </x:c>
      <x:c r="V356" t="n">
        <x:v>0</x:v>
      </x:c>
      <x:c r="W356" t="n">
        <x:v>0</x:v>
      </x:c>
    </x:row>
    <x:row r="357">
      <x:c r="J357" t="n">
        <x:v>362</x:v>
      </x:c>
      <x:c r="K357" t="str">
        <x:v>Dinosaur</x:v>
      </x:c>
      <x:c r="L357" t="n">
        <x:v>36665</x:v>
      </x:c>
      <x:c r="M357" t="n">
        <x:v>82</x:v>
      </x:c>
      <x:c r="N357" t="str">
        <x:v>Animation</x:v>
      </x:c>
      <x:c r="O357" t="str">
        <x:v>Ralph Zondag</x:v>
      </x:c>
      <x:c r="P357" t="str">
        <x:v>Walt Disney Pictures</x:v>
      </x:c>
      <x:c r="Q357" t="str">
        <x:v>United States</x:v>
      </x:c>
      <x:c r="R357" t="str">
        <x:v>English</x:v>
      </x:c>
      <x:c r="S357" t="str">
        <x:v>PG</x:v>
      </x:c>
      <x:c r="T357" t="n">
        <x:v>127500000</x:v>
      </x:c>
      <x:c r="U357" t="n">
        <x:v>349800000</x:v>
      </x:c>
      <x:c r="V357" t="n">
        <x:v>0</x:v>
      </x:c>
      <x:c r="W357" t="n">
        <x:v>0</x:v>
      </x:c>
    </x:row>
    <x:row r="358">
      <x:c r="J358" t="n">
        <x:v>363</x:v>
      </x:c>
      <x:c r="K358" t="str">
        <x:v>How the Grinch Stole Christmas</x:v>
      </x:c>
      <x:c r="L358" t="n">
        <x:v>36847</x:v>
      </x:c>
      <x:c r="M358" t="n">
        <x:v>104</x:v>
      </x:c>
      <x:c r="N358" t="str">
        <x:v>Comedy</x:v>
      </x:c>
      <x:c r="O358" t="str">
        <x:v>Ron Howard</x:v>
      </x:c>
      <x:c r="P358" t="str">
        <x:v>Imagine Entertainment</x:v>
      </x:c>
      <x:c r="Q358" t="str">
        <x:v>United States</x:v>
      </x:c>
      <x:c r="R358" t="str">
        <x:v>English</x:v>
      </x:c>
      <x:c r="S358" t="str">
        <x:v>PG</x:v>
      </x:c>
      <x:c r="T358" t="n">
        <x:v>123000000</x:v>
      </x:c>
      <x:c r="U358" t="n">
        <x:v>345100000</x:v>
      </x:c>
      <x:c r="V358" t="n">
        <x:v>3</x:v>
      </x:c>
      <x:c r="W358" t="n">
        <x:v>1</x:v>
      </x:c>
    </x:row>
    <x:row r="359">
      <x:c r="J359" t="n">
        <x:v>364</x:v>
      </x:c>
      <x:c r="K359" t="str">
        <x:v>Meet the Parents</x:v>
      </x:c>
      <x:c r="L359" t="n">
        <x:v>36805</x:v>
      </x:c>
      <x:c r="M359" t="n">
        <x:v>108</x:v>
      </x:c>
      <x:c r="N359" t="str">
        <x:v>Comedy</x:v>
      </x:c>
      <x:c r="O359" t="str">
        <x:v>Jay Roach</x:v>
      </x:c>
      <x:c r="P359" t="str">
        <x:v>Tribeca Productions</x:v>
      </x:c>
      <x:c r="Q359" t="str">
        <x:v>United States</x:v>
      </x:c>
      <x:c r="R359" t="str">
        <x:v>English</x:v>
      </x:c>
      <x:c r="S359" t="n">
        <x:v>12</x:v>
      </x:c>
      <x:c r="T359" t="n">
        <x:v>55000000</x:v>
      </x:c>
      <x:c r="U359" t="n">
        <x:v>330400000</x:v>
      </x:c>
      <x:c r="V359" t="n">
        <x:v>1</x:v>
      </x:c>
      <x:c r="W359" t="n">
        <x:v>0</x:v>
      </x:c>
    </x:row>
    <x:row r="360">
      <x:c r="J360" t="n">
        <x:v>365</x:v>
      </x:c>
      <x:c r="K360" t="str">
        <x:v>What Lies Beneath</x:v>
      </x:c>
      <x:c r="L360" t="n">
        <x:v>36728</x:v>
      </x:c>
      <x:c r="M360" t="n">
        <x:v>130</x:v>
      </x:c>
      <x:c r="N360" t="str">
        <x:v>Horror</x:v>
      </x:c>
      <x:c r="O360" t="str">
        <x:v>Robert Zemeckis</x:v>
      </x:c>
      <x:c r="P360" t="str">
        <x:v>ImageMovers</x:v>
      </x:c>
      <x:c r="Q360" t="str">
        <x:v>United States</x:v>
      </x:c>
      <x:c r="R360" t="str">
        <x:v>English</x:v>
      </x:c>
      <x:c r="S360" t="n">
        <x:v>15</x:v>
      </x:c>
      <x:c r="T360" t="n">
        <x:v>100000000</x:v>
      </x:c>
      <x:c r="U360" t="n">
        <x:v>291400000</x:v>
      </x:c>
      <x:c r="V360" t="n">
        <x:v>0</x:v>
      </x:c>
      <x:c r="W360" t="n">
        <x:v>0</x:v>
      </x:c>
    </x:row>
    <x:row r="361">
      <x:c r="J361" t="n">
        <x:v>366</x:v>
      </x:c>
      <x:c r="K361" t="str">
        <x:v>Toy Story 2</x:v>
      </x:c>
      <x:c r="L361" t="n">
        <x:v>36488</x:v>
      </x:c>
      <x:c r="M361" t="n">
        <x:v>95</x:v>
      </x:c>
      <x:c r="N361" t="str">
        <x:v>Animation</x:v>
      </x:c>
      <x:c r="O361" t="str">
        <x:v>John Lasseter</x:v>
      </x:c>
      <x:c r="P361" t="str">
        <x:v>Pixar Animation Studios</x:v>
      </x:c>
      <x:c r="Q361" t="str">
        <x:v>United States</x:v>
      </x:c>
      <x:c r="R361" t="str">
        <x:v>English</x:v>
      </x:c>
      <x:c r="S361" t="str">
        <x:v>U</x:v>
      </x:c>
      <x:c r="T361" t="n">
        <x:v>90000000</x:v>
      </x:c>
      <x:c r="U361" t="n">
        <x:v>497400000</x:v>
      </x:c>
      <x:c r="V361" t="n">
        <x:v>1</x:v>
      </x:c>
      <x:c r="W361" t="n">
        <x:v>0</x:v>
      </x:c>
    </x:row>
    <x:row r="362">
      <x:c r="J362" t="n">
        <x:v>367</x:v>
      </x:c>
      <x:c r="K362" t="str">
        <x:v>Tarzan</x:v>
      </x:c>
      <x:c r="L362" t="n">
        <x:v>36327</x:v>
      </x:c>
      <x:c r="M362" t="n">
        <x:v>88</x:v>
      </x:c>
      <x:c r="N362" t="str">
        <x:v>Animation</x:v>
      </x:c>
      <x:c r="O362" t="str">
        <x:v>Kevin Lima</x:v>
      </x:c>
      <x:c r="P362" t="str">
        <x:v>Walt Disney Pictures</x:v>
      </x:c>
      <x:c r="Q362" t="str">
        <x:v>United States</x:v>
      </x:c>
      <x:c r="R362" t="str">
        <x:v>English</x:v>
      </x:c>
      <x:c r="S362" t="str">
        <x:v>U</x:v>
      </x:c>
      <x:c r="T362" t="n">
        <x:v>130000000</x:v>
      </x:c>
      <x:c r="U362" t="n">
        <x:v>448200000</x:v>
      </x:c>
      <x:c r="V362" t="n">
        <x:v>1</x:v>
      </x:c>
      <x:c r="W362" t="n">
        <x:v>1</x:v>
      </x:c>
    </x:row>
    <x:row r="363">
      <x:c r="J363" t="n">
        <x:v>368</x:v>
      </x:c>
      <x:c r="K363" t="str">
        <x:v>The Mummy</x:v>
      </x:c>
      <x:c r="L363" t="n">
        <x:v>36287</x:v>
      </x:c>
      <x:c r="M363" t="n">
        <x:v>125</x:v>
      </x:c>
      <x:c r="N363" t="str">
        <x:v>Adventure</x:v>
      </x:c>
      <x:c r="O363" t="str">
        <x:v>Stephen Sommers</x:v>
      </x:c>
      <x:c r="P363" t="str">
        <x:v>Alphaville Films</x:v>
      </x:c>
      <x:c r="Q363" t="str">
        <x:v>United States</x:v>
      </x:c>
      <x:c r="R363" t="str">
        <x:v>English</x:v>
      </x:c>
      <x:c r="S363" t="n">
        <x:v>12</x:v>
      </x:c>
      <x:c r="T363" t="n">
        <x:v>80000000</x:v>
      </x:c>
      <x:c r="U363" t="n">
        <x:v>415900000</x:v>
      </x:c>
      <x:c r="V363" t="n">
        <x:v>1</x:v>
      </x:c>
      <x:c r="W363" t="n">
        <x:v>0</x:v>
      </x:c>
    </x:row>
    <x:row r="364">
      <x:c r="J364" t="n">
        <x:v>369</x:v>
      </x:c>
      <x:c r="K364" t="str">
        <x:v>Notting Hill</x:v>
      </x:c>
      <x:c r="L364" t="n">
        <x:v>36301</x:v>
      </x:c>
      <x:c r="M364" t="n">
        <x:v>124</x:v>
      </x:c>
      <x:c r="N364" t="str">
        <x:v>Romantic Comedy</x:v>
      </x:c>
      <x:c r="O364" t="str">
        <x:v>Roger Michell</x:v>
      </x:c>
      <x:c r="P364" t="str">
        <x:v>Polygram Filmed Entertainment</x:v>
      </x:c>
      <x:c r="Q364" t="str">
        <x:v>United Kingdom</x:v>
      </x:c>
      <x:c r="R364" t="str">
        <x:v>English</x:v>
      </x:c>
      <x:c r="S364" t="n">
        <x:v>15</x:v>
      </x:c>
      <x:c r="T364" t="n">
        <x:v>43000000</x:v>
      </x:c>
      <x:c r="U364" t="n">
        <x:v>363889678</x:v>
      </x:c>
      <x:c r="V364" t="n">
        <x:v>0</x:v>
      </x:c>
      <x:c r="W364" t="n">
        <x:v>0</x:v>
      </x:c>
    </x:row>
    <x:row r="365">
      <x:c r="J365" t="n">
        <x:v>370</x:v>
      </x:c>
      <x:c r="K365" t="str">
        <x:v>Austin Powers: The Spy Who Shagged Me</x:v>
      </x:c>
      <x:c r="L365" t="n">
        <x:v>36322</x:v>
      </x:c>
      <x:c r="M365" t="n">
        <x:v>96</x:v>
      </x:c>
      <x:c r="N365" t="str">
        <x:v>Comedy</x:v>
      </x:c>
      <x:c r="O365" t="str">
        <x:v>Jay Roach</x:v>
      </x:c>
      <x:c r="P365" t="str">
        <x:v>Eric's Boy</x:v>
      </x:c>
      <x:c r="Q365" t="str">
        <x:v>United States</x:v>
      </x:c>
      <x:c r="R365" t="str">
        <x:v>English</x:v>
      </x:c>
      <x:c r="S365" t="n">
        <x:v>12</x:v>
      </x:c>
      <x:c r="T365" t="n">
        <x:v>33000000</x:v>
      </x:c>
      <x:c r="U365" t="n">
        <x:v>312000000</x:v>
      </x:c>
      <x:c r="V365" t="n">
        <x:v>1</x:v>
      </x:c>
      <x:c r="W365" t="n">
        <x:v>0</x:v>
      </x:c>
    </x:row>
    <x:row r="366">
      <x:c r="J366" t="n">
        <x:v>371</x:v>
      </x:c>
      <x:c r="K366" t="str">
        <x:v>Godzilla</x:v>
      </x:c>
      <x:c r="L366" t="n">
        <x:v>35935</x:v>
      </x:c>
      <x:c r="M366" t="n">
        <x:v>139</x:v>
      </x:c>
      <x:c r="N366" t="str">
        <x:v>Science Fiction</x:v>
      </x:c>
      <x:c r="O366" t="str">
        <x:v>Roland Emmerich</x:v>
      </x:c>
      <x:c r="P366" t="str">
        <x:v>Centropolis Entertainment</x:v>
      </x:c>
      <x:c r="Q366" t="str">
        <x:v>United States</x:v>
      </x:c>
      <x:c r="R366" t="str">
        <x:v>English</x:v>
      </x:c>
      <x:c r="S366" t="str">
        <x:v>PG</x:v>
      </x:c>
      <x:c r="T366" t="n">
        <x:v>130000000</x:v>
      </x:c>
      <x:c r="U366" t="n">
        <x:v>379000000</x:v>
      </x:c>
      <x:c r="V366" t="n">
        <x:v>0</x:v>
      </x:c>
      <x:c r="W366" t="n">
        <x:v>0</x:v>
      </x:c>
    </x:row>
    <x:row r="367">
      <x:c r="J367" t="n">
        <x:v>372</x:v>
      </x:c>
      <x:c r="K367" t="str">
        <x:v>There's Something About Mary</x:v>
      </x:c>
      <x:c r="L367" t="n">
        <x:v>35991</x:v>
      </x:c>
      <x:c r="M367" t="n">
        <x:v>119</x:v>
      </x:c>
      <x:c r="N367" t="str">
        <x:v>Comedy</x:v>
      </x:c>
      <x:c r="O367" t="str">
        <x:v>Peter Farrelly</x:v>
      </x:c>
      <x:c r="P367" t="str">
        <x:v>20th Century Fox</x:v>
      </x:c>
      <x:c r="Q367" t="str">
        <x:v>United States</x:v>
      </x:c>
      <x:c r="R367" t="str">
        <x:v>English</x:v>
      </x:c>
      <x:c r="S367" t="n">
        <x:v>15</x:v>
      </x:c>
      <x:c r="T367" t="n">
        <x:v>23000000</x:v>
      </x:c>
      <x:c r="U367" t="n">
        <x:v>369900000</x:v>
      </x:c>
      <x:c r="V367" t="n">
        <x:v>0</x:v>
      </x:c>
      <x:c r="W367" t="n">
        <x:v>0</x:v>
      </x:c>
    </x:row>
    <x:row r="368">
      <x:c r="J368" t="n">
        <x:v>373</x:v>
      </x:c>
      <x:c r="K368" t="str">
        <x:v>A Bug's Life</x:v>
      </x:c>
      <x:c r="L368" t="n">
        <x:v>36124</x:v>
      </x:c>
      <x:c r="M368" t="n">
        <x:v>95</x:v>
      </x:c>
      <x:c r="N368" t="str">
        <x:v>Animation</x:v>
      </x:c>
      <x:c r="O368" t="str">
        <x:v>John Lasseter</x:v>
      </x:c>
      <x:c r="P368" t="str">
        <x:v>Pixar Animation Studios</x:v>
      </x:c>
      <x:c r="Q368" t="str">
        <x:v>United States</x:v>
      </x:c>
      <x:c r="R368" t="str">
        <x:v>English</x:v>
      </x:c>
      <x:c r="S368" t="str">
        <x:v>U</x:v>
      </x:c>
      <x:c r="T368" t="n">
        <x:v>120000000</x:v>
      </x:c>
      <x:c r="U368" t="n">
        <x:v>363300000</x:v>
      </x:c>
      <x:c r="V368" t="n">
        <x:v>1</x:v>
      </x:c>
      <x:c r="W368" t="n">
        <x:v>0</x:v>
      </x:c>
    </x:row>
    <x:row r="369">
      <x:c r="J369" t="n">
        <x:v>374</x:v>
      </x:c>
      <x:c r="K369" t="str">
        <x:v>Mulan</x:v>
      </x:c>
      <x:c r="L369" t="n">
        <x:v>35965</x:v>
      </x:c>
      <x:c r="M369" t="n">
        <x:v>87</x:v>
      </x:c>
      <x:c r="N369" t="str">
        <x:v>Animation</x:v>
      </x:c>
      <x:c r="O369" t="str">
        <x:v>Barry Cook</x:v>
      </x:c>
      <x:c r="P369" t="str">
        <x:v>Walt Disney Pictures</x:v>
      </x:c>
      <x:c r="Q369" t="str">
        <x:v>United States</x:v>
      </x:c>
      <x:c r="R369" t="str">
        <x:v>English</x:v>
      </x:c>
      <x:c r="S369" t="str">
        <x:v>U</x:v>
      </x:c>
      <x:c r="T369" t="n">
        <x:v>90000000</x:v>
      </x:c>
      <x:c r="U369" t="n">
        <x:v>304300000</x:v>
      </x:c>
      <x:c r="V369" t="n">
        <x:v>1</x:v>
      </x:c>
      <x:c r="W369" t="n">
        <x:v>0</x:v>
      </x:c>
    </x:row>
    <x:row r="370">
      <x:c r="J370" t="n">
        <x:v>375</x:v>
      </x:c>
      <x:c r="K370" t="str">
        <x:v>Dr. Dolittle</x:v>
      </x:c>
      <x:c r="L370" t="n">
        <x:v>35972</x:v>
      </x:c>
      <x:c r="M370" t="n">
        <x:v>85</x:v>
      </x:c>
      <x:c r="N370" t="str">
        <x:v>Comedy</x:v>
      </x:c>
      <x:c r="O370" t="str">
        <x:v>Betty Thomas</x:v>
      </x:c>
      <x:c r="P370" t="str">
        <x:v>Davis Entertainment</x:v>
      </x:c>
      <x:c r="Q370" t="str">
        <x:v>United States</x:v>
      </x:c>
      <x:c r="R370" t="str">
        <x:v>English</x:v>
      </x:c>
      <x:c r="S370" t="str">
        <x:v>PG</x:v>
      </x:c>
      <x:c r="T370" t="n">
        <x:v>70500000</x:v>
      </x:c>
      <x:c r="U370" t="n">
        <x:v>294400000</x:v>
      </x:c>
      <x:c r="V370" t="n">
        <x:v>0</x:v>
      </x:c>
      <x:c r="W370" t="n">
        <x:v>0</x:v>
      </x:c>
    </x:row>
    <x:row r="371">
      <x:c r="J371" t="n">
        <x:v>376</x:v>
      </x:c>
      <x:c r="K371" t="str">
        <x:v>Shakespeare in Love</x:v>
      </x:c>
      <x:c r="L371" t="n">
        <x:v>36132</x:v>
      </x:c>
      <x:c r="M371" t="n">
        <x:v>123</x:v>
      </x:c>
      <x:c r="N371" t="str">
        <x:v>Romantic Comedy</x:v>
      </x:c>
      <x:c r="O371" t="str">
        <x:v>John Madden</x:v>
      </x:c>
      <x:c r="P371" t="str">
        <x:v>The Bedford Falls Company</x:v>
      </x:c>
      <x:c r="Q371" t="str">
        <x:v>United Kingdom</x:v>
      </x:c>
      <x:c r="R371" t="str">
        <x:v>English</x:v>
      </x:c>
      <x:c r="S371" t="n">
        <x:v>15</x:v>
      </x:c>
      <x:c r="T371" t="n">
        <x:v>25000000</x:v>
      </x:c>
      <x:c r="U371" t="n">
        <x:v>289300000</x:v>
      </x:c>
      <x:c r="V371" t="n">
        <x:v>13</x:v>
      </x:c>
      <x:c r="W371" t="n">
        <x:v>7</x:v>
      </x:c>
    </x:row>
    <x:row r="372">
      <x:c r="J372" t="n">
        <x:v>377</x:v>
      </x:c>
      <x:c r="K372" t="str">
        <x:v>The Lost World: Jurassic Park</x:v>
      </x:c>
      <x:c r="L372" t="n">
        <x:v>35573</x:v>
      </x:c>
      <x:c r="M372" t="n">
        <x:v>129</x:v>
      </x:c>
      <x:c r="N372" t="str">
        <x:v>Adventure</x:v>
      </x:c>
      <x:c r="O372" t="str">
        <x:v>Steven Spielberg</x:v>
      </x:c>
      <x:c r="P372" t="str">
        <x:v>Amblin Entertainment</x:v>
      </x:c>
      <x:c r="Q372" t="str">
        <x:v>United States</x:v>
      </x:c>
      <x:c r="R372" t="str">
        <x:v>English</x:v>
      </x:c>
      <x:c r="S372" t="str">
        <x:v>PG</x:v>
      </x:c>
      <x:c r="T372" t="n">
        <x:v>73000000</x:v>
      </x:c>
      <x:c r="U372" t="n">
        <x:v>618600000</x:v>
      </x:c>
      <x:c r="V372" t="n">
        <x:v>1</x:v>
      </x:c>
      <x:c r="W372" t="n">
        <x:v>0</x:v>
      </x:c>
    </x:row>
    <x:row r="373">
      <x:c r="J373" t="n">
        <x:v>378</x:v>
      </x:c>
      <x:c r="K373" t="str">
        <x:v>Air Force One</x:v>
      </x:c>
      <x:c r="L373" t="n">
        <x:v>35636</x:v>
      </x:c>
      <x:c r="M373" t="n">
        <x:v>124</x:v>
      </x:c>
      <x:c r="N373" t="str">
        <x:v>Thriller</x:v>
      </x:c>
      <x:c r="O373" t="str">
        <x:v>Wolfgang Peterson</x:v>
      </x:c>
      <x:c r="P373" t="str">
        <x:v>Touchstone Pictures</x:v>
      </x:c>
      <x:c r="Q373" t="str">
        <x:v>United States</x:v>
      </x:c>
      <x:c r="R373" t="str">
        <x:v>English</x:v>
      </x:c>
      <x:c r="S373" t="n">
        <x:v>15</x:v>
      </x:c>
      <x:c r="T373" t="n">
        <x:v>85000000</x:v>
      </x:c>
      <x:c r="U373" t="n">
        <x:v>315100000</x:v>
      </x:c>
      <x:c r="V373" t="n">
        <x:v>2</x:v>
      </x:c>
      <x:c r="W373" t="n">
        <x:v>0</x:v>
      </x:c>
    </x:row>
    <x:row r="374">
      <x:c r="J374" t="n">
        <x:v>380</x:v>
      </x:c>
      <x:c r="K374" t="str">
        <x:v>Liar Liar</x:v>
      </x:c>
      <x:c r="L374" t="n">
        <x:v>35510</x:v>
      </x:c>
      <x:c r="M374" t="n">
        <x:v>88</x:v>
      </x:c>
      <x:c r="N374" t="str">
        <x:v>Comedy</x:v>
      </x:c>
      <x:c r="O374" t="str">
        <x:v>Tom Shadyac</x:v>
      </x:c>
      <x:c r="P374" t="str">
        <x:v>Imagine Entertainment</x:v>
      </x:c>
      <x:c r="Q374" t="str">
        <x:v>United States</x:v>
      </x:c>
      <x:c r="R374" t="str">
        <x:v>English</x:v>
      </x:c>
      <x:c r="S374" t="n">
        <x:v>12</x:v>
      </x:c>
      <x:c r="T374" t="n">
        <x:v>45000000</x:v>
      </x:c>
      <x:c r="U374" t="n">
        <x:v>302700000</x:v>
      </x:c>
      <x:c r="V374" t="n">
        <x:v>0</x:v>
      </x:c>
      <x:c r="W374" t="n">
        <x:v>0</x:v>
      </x:c>
    </x:row>
    <x:row r="375">
      <x:c r="J375" t="n">
        <x:v>381</x:v>
      </x:c>
      <x:c r="K375" t="str">
        <x:v>My Best Friend's Wedding</x:v>
      </x:c>
      <x:c r="L375" t="n">
        <x:v>35601</x:v>
      </x:c>
      <x:c r="M375" t="n">
        <x:v>104</x:v>
      </x:c>
      <x:c r="N375" t="str">
        <x:v>Romantic Comedy</x:v>
      </x:c>
      <x:c r="O375" t="str">
        <x:v>P. J. Hogan</x:v>
      </x:c>
      <x:c r="P375" t="str">
        <x:v>Zucker Brothers Productions</x:v>
      </x:c>
      <x:c r="Q375" t="str">
        <x:v>United States</x:v>
      </x:c>
      <x:c r="R375" t="str">
        <x:v>English</x:v>
      </x:c>
      <x:c r="S375" t="n">
        <x:v>12</x:v>
      </x:c>
      <x:c r="T375" t="n">
        <x:v>38000000</x:v>
      </x:c>
      <x:c r="U375" t="n">
        <x:v>299300000</x:v>
      </x:c>
      <x:c r="V375" t="n">
        <x:v>1</x:v>
      </x:c>
      <x:c r="W375" t="n">
        <x:v>0</x:v>
      </x:c>
    </x:row>
    <x:row r="376">
      <x:c r="J376" t="n">
        <x:v>382</x:v>
      </x:c>
      <x:c r="K376" t="str">
        <x:v>The Full Monty</x:v>
      </x:c>
      <x:c r="L376" t="n">
        <x:v>35671</x:v>
      </x:c>
      <x:c r="M376" t="n">
        <x:v>91</x:v>
      </x:c>
      <x:c r="N376" t="str">
        <x:v>Comedy</x:v>
      </x:c>
      <x:c r="O376" t="str">
        <x:v>Peter Cattaneo</x:v>
      </x:c>
      <x:c r="P376" t="str">
        <x:v>Channel Four Films</x:v>
      </x:c>
      <x:c r="Q376" t="str">
        <x:v>United Kingdom</x:v>
      </x:c>
      <x:c r="R376" t="str">
        <x:v>English</x:v>
      </x:c>
      <x:c r="S376" t="n">
        <x:v>15</x:v>
      </x:c>
      <x:c r="T376" t="n">
        <x:v>3500000</x:v>
      </x:c>
      <x:c r="U376" t="n">
        <x:v>258000000</x:v>
      </x:c>
      <x:c r="V376" t="n">
        <x:v>4</x:v>
      </x:c>
      <x:c r="W376" t="n">
        <x:v>1</x:v>
      </x:c>
    </x:row>
    <x:row r="377">
      <x:c r="J377" t="n">
        <x:v>383</x:v>
      </x:c>
      <x:c r="K377" t="str">
        <x:v>Twister</x:v>
      </x:c>
      <x:c r="L377" t="n">
        <x:v>35202</x:v>
      </x:c>
      <x:c r="M377" t="n">
        <x:v>113</x:v>
      </x:c>
      <x:c r="N377" t="str">
        <x:v>Disaster</x:v>
      </x:c>
      <x:c r="O377" t="str">
        <x:v>Jan de Bont</x:v>
      </x:c>
      <x:c r="P377" t="str">
        <x:v>Amblin Entertainment</x:v>
      </x:c>
      <x:c r="Q377" t="str">
        <x:v>United States</x:v>
      </x:c>
      <x:c r="R377" t="str">
        <x:v>English</x:v>
      </x:c>
      <x:c r="S377" t="str">
        <x:v>PG</x:v>
      </x:c>
      <x:c r="T377" t="n">
        <x:v>92000000</x:v>
      </x:c>
      <x:c r="U377" t="n">
        <x:v>494400000</x:v>
      </x:c>
      <x:c r="V377" t="n">
        <x:v>2</x:v>
      </x:c>
      <x:c r="W377" t="n">
        <x:v>0</x:v>
      </x:c>
    </x:row>
    <x:row r="378">
      <x:c r="J378" t="n">
        <x:v>384</x:v>
      </x:c>
      <x:c r="K378" t="str">
        <x:v>The Hunchback of Notre Dame</x:v>
      </x:c>
      <x:c r="L378" t="n">
        <x:v>35237</x:v>
      </x:c>
      <x:c r="M378" t="n">
        <x:v>91</x:v>
      </x:c>
      <x:c r="N378" t="str">
        <x:v>Animation</x:v>
      </x:c>
      <x:c r="O378" t="str">
        <x:v>Gary Trousdale</x:v>
      </x:c>
      <x:c r="P378" t="str">
        <x:v>Walt Disney Pictures</x:v>
      </x:c>
      <x:c r="Q378" t="str">
        <x:v>United States</x:v>
      </x:c>
      <x:c r="R378" t="str">
        <x:v>English</x:v>
      </x:c>
      <x:c r="S378" t="str">
        <x:v>U</x:v>
      </x:c>
      <x:c r="T378" t="n">
        <x:v>100000000</x:v>
      </x:c>
      <x:c r="U378" t="n">
        <x:v>325300000</x:v>
      </x:c>
      <x:c r="V378" t="n">
        <x:v>1</x:v>
      </x:c>
      <x:c r="W378" t="n">
        <x:v>0</x:v>
      </x:c>
    </x:row>
    <x:row r="379">
      <x:c r="J379" t="n">
        <x:v>385</x:v>
      </x:c>
      <x:c r="K379" t="str">
        <x:v>101 Dalmatians</x:v>
      </x:c>
      <x:c r="L379" t="n">
        <x:v>35396</x:v>
      </x:c>
      <x:c r="M379" t="n">
        <x:v>103</x:v>
      </x:c>
      <x:c r="N379" t="str">
        <x:v>Family</x:v>
      </x:c>
      <x:c r="O379" t="str">
        <x:v>Stephen Herek</x:v>
      </x:c>
      <x:c r="P379" t="str">
        <x:v>Walt Disney Pictures</x:v>
      </x:c>
      <x:c r="Q379" t="str">
        <x:v>United States</x:v>
      </x:c>
      <x:c r="R379" t="str">
        <x:v>English</x:v>
      </x:c>
      <x:c r="S379" t="str">
        <x:v>U</x:v>
      </x:c>
      <x:c r="T379" t="n">
        <x:v>75000000</x:v>
      </x:c>
      <x:c r="U379" t="n">
        <x:v>320600000</x:v>
      </x:c>
      <x:c r="V379" t="n">
        <x:v>0</x:v>
      </x:c>
      <x:c r="W379" t="n">
        <x:v>0</x:v>
      </x:c>
    </x:row>
    <x:row r="380">
      <x:c r="J380" t="n">
        <x:v>386</x:v>
      </x:c>
      <x:c r="K380" t="str">
        <x:v>Ransom</x:v>
      </x:c>
      <x:c r="L380" t="n">
        <x:v>35377</x:v>
      </x:c>
      <x:c r="M380" t="n">
        <x:v>121</x:v>
      </x:c>
      <x:c r="N380" t="str">
        <x:v>Thriller</x:v>
      </x:c>
      <x:c r="O380" t="str">
        <x:v>Ron Howard</x:v>
      </x:c>
      <x:c r="P380" t="str">
        <x:v>Touchstone Pictures</x:v>
      </x:c>
      <x:c r="Q380" t="str">
        <x:v>United States</x:v>
      </x:c>
      <x:c r="R380" t="str">
        <x:v>English</x:v>
      </x:c>
      <x:c r="S380" t="n">
        <x:v>15</x:v>
      </x:c>
      <x:c r="T380" t="n">
        <x:v>80000000</x:v>
      </x:c>
      <x:c r="U380" t="n">
        <x:v>309500000</x:v>
      </x:c>
      <x:c r="V380" t="n">
        <x:v>0</x:v>
      </x:c>
      <x:c r="W380" t="n">
        <x:v>0</x:v>
      </x:c>
    </x:row>
    <x:row r="381">
      <x:c r="J381" t="n">
        <x:v>387</x:v>
      </x:c>
      <x:c r="K381" t="str">
        <x:v>The Nutty Professor</x:v>
      </x:c>
      <x:c r="L381" t="n">
        <x:v>35244</x:v>
      </x:c>
      <x:c r="M381" t="n">
        <x:v>95</x:v>
      </x:c>
      <x:c r="N381" t="str">
        <x:v>Comedy</x:v>
      </x:c>
      <x:c r="O381" t="str">
        <x:v>Tom Shadyac</x:v>
      </x:c>
      <x:c r="P381" t="str">
        <x:v>Imagine Entertainment</x:v>
      </x:c>
      <x:c r="Q381" t="str">
        <x:v>United States</x:v>
      </x:c>
      <x:c r="R381" t="str">
        <x:v>English</x:v>
      </x:c>
      <x:c r="S381" t="n">
        <x:v>12</x:v>
      </x:c>
      <x:c r="T381" t="n">
        <x:v>54000000</x:v>
      </x:c>
      <x:c r="U381" t="n">
        <x:v>274000000</x:v>
      </x:c>
      <x:c r="V381" t="n">
        <x:v>1</x:v>
      </x:c>
      <x:c r="W381" t="n">
        <x:v>1</x:v>
      </x:c>
    </x:row>
    <x:row r="382">
      <x:c r="J382" t="n">
        <x:v>388</x:v>
      </x:c>
      <x:c r="K382" t="str">
        <x:v>Jerry Maguire</x:v>
      </x:c>
      <x:c r="L382" t="n">
        <x:v>35412</x:v>
      </x:c>
      <x:c r="M382" t="n">
        <x:v>139</x:v>
      </x:c>
      <x:c r="N382" t="str">
        <x:v>Drama</x:v>
      </x:c>
      <x:c r="O382" t="str">
        <x:v>Cameron Crowe</x:v>
      </x:c>
      <x:c r="P382" t="str">
        <x:v>Gracie Films</x:v>
      </x:c>
      <x:c r="Q382" t="str">
        <x:v>United States</x:v>
      </x:c>
      <x:c r="R382" t="str">
        <x:v>English</x:v>
      </x:c>
      <x:c r="S382" t="n">
        <x:v>15</x:v>
      </x:c>
      <x:c r="T382" t="n">
        <x:v>50000000</x:v>
      </x:c>
      <x:c r="U382" t="n">
        <x:v>273600000</x:v>
      </x:c>
      <x:c r="V382" t="n">
        <x:v>5</x:v>
      </x:c>
      <x:c r="W382" t="n">
        <x:v>1</x:v>
      </x:c>
    </x:row>
    <x:row r="383">
      <x:c r="J383" t="n">
        <x:v>389</x:v>
      </x:c>
      <x:c r="K383" t="str">
        <x:v>Eraser</x:v>
      </x:c>
      <x:c r="L383" t="n">
        <x:v>35237</x:v>
      </x:c>
      <x:c r="M383" t="n">
        <x:v>114</x:v>
      </x:c>
      <x:c r="N383" t="str">
        <x:v>Action</x:v>
      </x:c>
      <x:c r="O383" t="str">
        <x:v>Chuck Russell</x:v>
      </x:c>
      <x:c r="P383" t="str">
        <x:v>Kopelson Entertainment</x:v>
      </x:c>
      <x:c r="Q383" t="str">
        <x:v>United States</x:v>
      </x:c>
      <x:c r="R383" t="str">
        <x:v>English</x:v>
      </x:c>
      <x:c r="S383" t="n">
        <x:v>15</x:v>
      </x:c>
      <x:c r="T383" t="n">
        <x:v>100000000</x:v>
      </x:c>
      <x:c r="U383" t="n">
        <x:v>242300000</x:v>
      </x:c>
      <x:c r="V383" t="n">
        <x:v>1</x:v>
      </x:c>
      <x:c r="W383" t="n">
        <x:v>0</x:v>
      </x:c>
    </x:row>
    <x:row r="384">
      <x:c r="J384" t="n">
        <x:v>390</x:v>
      </x:c>
      <x:c r="K384" t="str">
        <x:v>Toy Story</x:v>
      </x:c>
      <x:c r="L384" t="n">
        <x:v>35025</x:v>
      </x:c>
      <x:c r="M384" t="n">
        <x:v>81</x:v>
      </x:c>
      <x:c r="N384" t="str">
        <x:v>Animation</x:v>
      </x:c>
      <x:c r="O384" t="str">
        <x:v>John Lasseter</x:v>
      </x:c>
      <x:c r="P384" t="str">
        <x:v>Pixar Animation Studios</x:v>
      </x:c>
      <x:c r="Q384" t="str">
        <x:v>United States</x:v>
      </x:c>
      <x:c r="R384" t="str">
        <x:v>English</x:v>
      </x:c>
      <x:c r="S384" t="str">
        <x:v>PG</x:v>
      </x:c>
      <x:c r="T384" t="n">
        <x:v>30000000</x:v>
      </x:c>
      <x:c r="U384" t="n">
        <x:v>373600000</x:v>
      </x:c>
      <x:c r="V384" t="n">
        <x:v>3</x:v>
      </x:c>
      <x:c r="W384" t="n">
        <x:v>0</x:v>
      </x:c>
    </x:row>
    <x:row r="385">
      <x:c r="J385" t="n">
        <x:v>391</x:v>
      </x:c>
      <x:c r="K385" t="str">
        <x:v>Pocahontas</x:v>
      </x:c>
      <x:c r="L385" t="n">
        <x:v>34873</x:v>
      </x:c>
      <x:c r="M385" t="n">
        <x:v>82</x:v>
      </x:c>
      <x:c r="N385" t="str">
        <x:v>Animation</x:v>
      </x:c>
      <x:c r="O385" t="str">
        <x:v>Mike Gabriel</x:v>
      </x:c>
      <x:c r="P385" t="str">
        <x:v>Walt Disney Pictures</x:v>
      </x:c>
      <x:c r="Q385" t="str">
        <x:v>United States</x:v>
      </x:c>
      <x:c r="R385" t="str">
        <x:v>English</x:v>
      </x:c>
      <x:c r="S385" t="str">
        <x:v>U</x:v>
      </x:c>
      <x:c r="T385" t="n">
        <x:v>55000000</x:v>
      </x:c>
      <x:c r="U385" t="n">
        <x:v>346100000</x:v>
      </x:c>
      <x:c r="V385" t="n">
        <x:v>2</x:v>
      </x:c>
      <x:c r="W385" t="n">
        <x:v>2</x:v>
      </x:c>
    </x:row>
    <x:row r="386">
      <x:c r="J386" t="n">
        <x:v>392</x:v>
      </x:c>
      <x:c r="K386" t="str">
        <x:v>Batman Forever</x:v>
      </x:c>
      <x:c r="L386" t="n">
        <x:v>34866</x:v>
      </x:c>
      <x:c r="M386" t="n">
        <x:v>122</x:v>
      </x:c>
      <x:c r="N386" t="str">
        <x:v>Action</x:v>
      </x:c>
      <x:c r="O386" t="str">
        <x:v>Joel Schumacher</x:v>
      </x:c>
      <x:c r="P386" t="str">
        <x:v>Polygram Filmed Entertainment</x:v>
      </x:c>
      <x:c r="Q386" t="str">
        <x:v>United States</x:v>
      </x:c>
      <x:c r="R386" t="str">
        <x:v>English</x:v>
      </x:c>
      <x:c r="S386" t="n">
        <x:v>12</x:v>
      </x:c>
      <x:c r="T386" t="n">
        <x:v>100000000</x:v>
      </x:c>
      <x:c r="U386" t="n">
        <x:v>336500000</x:v>
      </x:c>
      <x:c r="V386" t="n">
        <x:v>3</x:v>
      </x:c>
      <x:c r="W386" t="n">
        <x:v>0</x:v>
      </x:c>
    </x:row>
    <x:row r="387">
      <x:c r="J387" t="n">
        <x:v>393</x:v>
      </x:c>
      <x:c r="K387" t="str">
        <x:v>Casper</x:v>
      </x:c>
      <x:c r="L387" t="n">
        <x:v>34845</x:v>
      </x:c>
      <x:c r="M387" t="n">
        <x:v>101</x:v>
      </x:c>
      <x:c r="N387" t="str">
        <x:v>Comedy</x:v>
      </x:c>
      <x:c r="O387" t="str">
        <x:v>Brad Silberling</x:v>
      </x:c>
      <x:c r="P387" t="str">
        <x:v>Amblin Entertainment</x:v>
      </x:c>
      <x:c r="Q387" t="str">
        <x:v>United States</x:v>
      </x:c>
      <x:c r="R387" t="str">
        <x:v>English</x:v>
      </x:c>
      <x:c r="S387" t="str">
        <x:v>PG</x:v>
      </x:c>
      <x:c r="T387" t="n">
        <x:v>55000000</x:v>
      </x:c>
      <x:c r="U387" t="n">
        <x:v>287900000</x:v>
      </x:c>
      <x:c r="V387" t="n">
        <x:v>0</x:v>
      </x:c>
      <x:c r="W387" t="n">
        <x:v>0</x:v>
      </x:c>
    </x:row>
    <x:row r="388">
      <x:c r="J388" t="n">
        <x:v>394</x:v>
      </x:c>
      <x:c r="K388" t="str">
        <x:v>Jumanji</x:v>
      </x:c>
      <x:c r="L388" t="n">
        <x:v>35048</x:v>
      </x:c>
      <x:c r="M388" t="n">
        <x:v>104</x:v>
      </x:c>
      <x:c r="N388" t="str">
        <x:v>Adventure</x:v>
      </x:c>
      <x:c r="O388" t="str">
        <x:v>Joe Johnston</x:v>
      </x:c>
      <x:c r="P388" t="str">
        <x:v>Interscope Communications</x:v>
      </x:c>
      <x:c r="Q388" t="str">
        <x:v>United States</x:v>
      </x:c>
      <x:c r="R388" t="str">
        <x:v>English</x:v>
      </x:c>
      <x:c r="S388" t="str">
        <x:v>PG</x:v>
      </x:c>
      <x:c r="T388" t="n">
        <x:v>65000000</x:v>
      </x:c>
      <x:c r="U388" t="n">
        <x:v>262800000</x:v>
      </x:c>
      <x:c r="V388" t="n">
        <x:v>0</x:v>
      </x:c>
      <x:c r="W388" t="n">
        <x:v>0</x:v>
      </x:c>
    </x:row>
    <x:row r="389">
      <x:c r="J389" t="n">
        <x:v>395</x:v>
      </x:c>
      <x:c r="K389" t="str">
        <x:v>The Lion King</x:v>
      </x:c>
      <x:c r="L389" t="n">
        <x:v>34500</x:v>
      </x:c>
      <x:c r="M389" t="n">
        <x:v>88</x:v>
      </x:c>
      <x:c r="N389" t="str">
        <x:v>Animation</x:v>
      </x:c>
      <x:c r="O389" t="str">
        <x:v>Rob Minkoff</x:v>
      </x:c>
      <x:c r="P389" t="str">
        <x:v>Walt Disney Pictures</x:v>
      </x:c>
      <x:c r="Q389" t="str">
        <x:v>United States</x:v>
      </x:c>
      <x:c r="R389" t="str">
        <x:v>English</x:v>
      </x:c>
      <x:c r="S389" t="str">
        <x:v>U</x:v>
      </x:c>
      <x:c r="T389" t="n">
        <x:v>45000000</x:v>
      </x:c>
      <x:c r="U389" t="n">
        <x:v>968500000</x:v>
      </x:c>
      <x:c r="V389" t="n">
        <x:v>4</x:v>
      </x:c>
      <x:c r="W389" t="n">
        <x:v>2</x:v>
      </x:c>
    </x:row>
    <x:row r="390">
      <x:c r="J390" t="n">
        <x:v>396</x:v>
      </x:c>
      <x:c r="K390" t="str">
        <x:v>The Mask</x:v>
      </x:c>
      <x:c r="L390" t="n">
        <x:v>34544</x:v>
      </x:c>
      <x:c r="M390" t="n">
        <x:v>101</x:v>
      </x:c>
      <x:c r="N390" t="str">
        <x:v>Comedy</x:v>
      </x:c>
      <x:c r="O390" t="str">
        <x:v>Chuck Russell</x:v>
      </x:c>
      <x:c r="P390" t="str">
        <x:v>Dark Horse Entertainment</x:v>
      </x:c>
      <x:c r="Q390" t="str">
        <x:v>United States</x:v>
      </x:c>
      <x:c r="R390" t="str">
        <x:v>English</x:v>
      </x:c>
      <x:c r="S390" t="str">
        <x:v>PG</x:v>
      </x:c>
      <x:c r="T390" t="n">
        <x:v>23000000</x:v>
      </x:c>
      <x:c r="U390" t="n">
        <x:v>351600000</x:v>
      </x:c>
      <x:c r="V390" t="n">
        <x:v>1</x:v>
      </x:c>
      <x:c r="W390" t="n">
        <x:v>0</x:v>
      </x:c>
    </x:row>
    <x:row r="391">
      <x:c r="J391" t="n">
        <x:v>397</x:v>
      </x:c>
      <x:c r="K391" t="str">
        <x:v>Speed</x:v>
      </x:c>
      <x:c r="L391" t="n">
        <x:v>34495</x:v>
      </x:c>
      <x:c r="M391" t="n">
        <x:v>115</x:v>
      </x:c>
      <x:c r="N391" t="str">
        <x:v>Action</x:v>
      </x:c>
      <x:c r="O391" t="str">
        <x:v>Jan de Bont</x:v>
      </x:c>
      <x:c r="P391" t="str">
        <x:v>Mark Gordon Productions</x:v>
      </x:c>
      <x:c r="Q391" t="str">
        <x:v>United States</x:v>
      </x:c>
      <x:c r="R391" t="str">
        <x:v>English</x:v>
      </x:c>
      <x:c r="S391" t="n">
        <x:v>15</x:v>
      </x:c>
      <x:c r="T391" t="n">
        <x:v>30000000</x:v>
      </x:c>
      <x:c r="U391" t="n">
        <x:v>350400000</x:v>
      </x:c>
      <x:c r="V391" t="n">
        <x:v>3</x:v>
      </x:c>
      <x:c r="W391" t="n">
        <x:v>2</x:v>
      </x:c>
    </x:row>
    <x:row r="392">
      <x:c r="J392" t="n">
        <x:v>398</x:v>
      </x:c>
      <x:c r="K392" t="str">
        <x:v>The Flintstones</x:v>
      </x:c>
      <x:c r="L392" t="n">
        <x:v>34481</x:v>
      </x:c>
      <x:c r="M392" t="n">
        <x:v>91</x:v>
      </x:c>
      <x:c r="N392" t="str">
        <x:v>Comedy</x:v>
      </x:c>
      <x:c r="O392" t="str">
        <x:v>Brian Levant</x:v>
      </x:c>
      <x:c r="P392" t="str">
        <x:v>Amblin Entertainment</x:v>
      </x:c>
      <x:c r="Q392" t="str">
        <x:v>United States</x:v>
      </x:c>
      <x:c r="R392" t="str">
        <x:v>English</x:v>
      </x:c>
      <x:c r="S392" t="str">
        <x:v>U</x:v>
      </x:c>
      <x:c r="T392" t="n">
        <x:v>46000000</x:v>
      </x:c>
      <x:c r="U392" t="n">
        <x:v>341600000</x:v>
      </x:c>
      <x:c r="V392" t="n">
        <x:v>0</x:v>
      </x:c>
      <x:c r="W392" t="n">
        <x:v>0</x:v>
      </x:c>
    </x:row>
    <x:row r="393">
      <x:c r="J393" t="n">
        <x:v>399</x:v>
      </x:c>
      <x:c r="K393" t="str">
        <x:v>Dumb and Dumber</x:v>
      </x:c>
      <x:c r="L393" t="n">
        <x:v>34684</x:v>
      </x:c>
      <x:c r="M393" t="n">
        <x:v>107</x:v>
      </x:c>
      <x:c r="N393" t="str">
        <x:v>Comedy</x:v>
      </x:c>
      <x:c r="O393" t="str">
        <x:v>Peter Farrelly</x:v>
      </x:c>
      <x:c r="P393" t="str">
        <x:v>Motion Picture Corporation of America</x:v>
      </x:c>
      <x:c r="Q393" t="str">
        <x:v>United States</x:v>
      </x:c>
      <x:c r="R393" t="str">
        <x:v>English</x:v>
      </x:c>
      <x:c r="S393" t="n">
        <x:v>12</x:v>
      </x:c>
      <x:c r="T393" t="n">
        <x:v>17000000</x:v>
      </x:c>
      <x:c r="U393" t="n">
        <x:v>247000000</x:v>
      </x:c>
      <x:c r="V393" t="n">
        <x:v>0</x:v>
      </x:c>
      <x:c r="W393" t="n">
        <x:v>0</x:v>
      </x:c>
    </x:row>
    <x:row r="394">
      <x:c r="J394" t="n">
        <x:v>400</x:v>
      </x:c>
      <x:c r="K394" t="str">
        <x:v>Donnie Brasco</x:v>
      </x:c>
      <x:c r="L394" t="n">
        <x:v>35489</x:v>
      </x:c>
      <x:c r="M394" t="n">
        <x:v>126</x:v>
      </x:c>
      <x:c r="N394" t="str">
        <x:v>Crime</x:v>
      </x:c>
      <x:c r="O394" t="str">
        <x:v>Mike Newell</x:v>
      </x:c>
      <x:c r="P394" t="str">
        <x:v>Channel Four Films</x:v>
      </x:c>
      <x:c r="Q394" t="str">
        <x:v>United States</x:v>
      </x:c>
      <x:c r="R394" t="str">
        <x:v>English</x:v>
      </x:c>
      <x:c r="S394" t="n">
        <x:v>18</x:v>
      </x:c>
      <x:c r="T394" t="n">
        <x:v>35000000</x:v>
      </x:c>
      <x:c r="U394" t="n">
        <x:v>124900000</x:v>
      </x:c>
      <x:c r="V394" t="n">
        <x:v>1</x:v>
      </x:c>
      <x:c r="W394" t="n">
        <x:v>0</x:v>
      </x:c>
    </x:row>
    <x:row r="395">
      <x:c r="J395" t="n">
        <x:v>401</x:v>
      </x:c>
      <x:c r="K395" t="str">
        <x:v>Interview with the Vampire: The Vampire Chronicles</x:v>
      </x:c>
      <x:c r="L395" t="n">
        <x:v>34649</x:v>
      </x:c>
      <x:c r="M395" t="n">
        <x:v>122</x:v>
      </x:c>
      <x:c r="N395" t="str">
        <x:v>Horror</x:v>
      </x:c>
      <x:c r="O395" t="str">
        <x:v>Neil Jordan</x:v>
      </x:c>
      <x:c r="P395" t="str">
        <x:v>Geffen Pictures</x:v>
      </x:c>
      <x:c r="Q395" t="str">
        <x:v>United States</x:v>
      </x:c>
      <x:c r="R395" t="str">
        <x:v>English</x:v>
      </x:c>
      <x:c r="S395" t="n">
        <x:v>18</x:v>
      </x:c>
      <x:c r="T395" t="n">
        <x:v>60000000</x:v>
      </x:c>
      <x:c r="U395" t="n">
        <x:v>223700000</x:v>
      </x:c>
      <x:c r="V395" t="n">
        <x:v>2</x:v>
      </x:c>
      <x:c r="W395" t="n">
        <x:v>0</x:v>
      </x:c>
    </x:row>
    <x:row r="396">
      <x:c r="J396" t="n">
        <x:v>403</x:v>
      </x:c>
      <x:c r="K396" t="str">
        <x:v>Mrs. Doubtfire</x:v>
      </x:c>
      <x:c r="L396" t="n">
        <x:v>34297</x:v>
      </x:c>
      <x:c r="M396" t="n">
        <x:v>125</x:v>
      </x:c>
      <x:c r="N396" t="str">
        <x:v>Comedy</x:v>
      </x:c>
      <x:c r="O396" t="str">
        <x:v>Chris Columbus</x:v>
      </x:c>
      <x:c r="P396" t="str">
        <x:v>Blue Wolf Productions</x:v>
      </x:c>
      <x:c r="Q396" t="str">
        <x:v>United States</x:v>
      </x:c>
      <x:c r="R396" t="str">
        <x:v>English</x:v>
      </x:c>
      <x:c r="S396" t="n">
        <x:v>12</x:v>
      </x:c>
      <x:c r="T396" t="n">
        <x:v>25000000</x:v>
      </x:c>
      <x:c r="U396" t="n">
        <x:v>441300000</x:v>
      </x:c>
      <x:c r="V396" t="n">
        <x:v>1</x:v>
      </x:c>
      <x:c r="W396" t="n">
        <x:v>1</x:v>
      </x:c>
    </x:row>
    <x:row r="397">
      <x:c r="J397" t="n">
        <x:v>404</x:v>
      </x:c>
      <x:c r="K397" t="str">
        <x:v>The Firm</x:v>
      </x:c>
      <x:c r="L397" t="n">
        <x:v>34150</x:v>
      </x:c>
      <x:c r="M397" t="n">
        <x:v>154</x:v>
      </x:c>
      <x:c r="N397" t="str">
        <x:v>Thriller</x:v>
      </x:c>
      <x:c r="O397" t="str">
        <x:v>Sydney Pollack</x:v>
      </x:c>
      <x:c r="P397" t="str">
        <x:v>Davis Entertainment</x:v>
      </x:c>
      <x:c r="Q397" t="str">
        <x:v>United States</x:v>
      </x:c>
      <x:c r="R397" t="str">
        <x:v>English</x:v>
      </x:c>
      <x:c r="S397" t="n">
        <x:v>15</x:v>
      </x:c>
      <x:c r="T397" t="n">
        <x:v>42000000</x:v>
      </x:c>
      <x:c r="U397" t="n">
        <x:v>270248367</x:v>
      </x:c>
      <x:c r="V397" t="n">
        <x:v>2</x:v>
      </x:c>
      <x:c r="W397" t="n">
        <x:v>0</x:v>
      </x:c>
    </x:row>
    <x:row r="398">
      <x:c r="J398" t="n">
        <x:v>405</x:v>
      </x:c>
      <x:c r="K398" t="str">
        <x:v>Indecent Proposal</x:v>
      </x:c>
      <x:c r="L398" t="n">
        <x:v>34066</x:v>
      </x:c>
      <x:c r="M398" t="n">
        <x:v>118</x:v>
      </x:c>
      <x:c r="N398" t="str">
        <x:v>Drama</x:v>
      </x:c>
      <x:c r="O398" t="str">
        <x:v>Adrian Lyne</x:v>
      </x:c>
      <x:c r="P398" t="str">
        <x:v>Paramount Pictures</x:v>
      </x:c>
      <x:c r="Q398" t="str">
        <x:v>United States</x:v>
      </x:c>
      <x:c r="R398" t="str">
        <x:v>English</x:v>
      </x:c>
      <x:c r="S398" t="n">
        <x:v>15</x:v>
      </x:c>
      <x:c r="T398" t="n">
        <x:v>38000000</x:v>
      </x:c>
      <x:c r="U398" t="n">
        <x:v>266600000</x:v>
      </x:c>
      <x:c r="V398" t="n">
        <x:v>0</x:v>
      </x:c>
      <x:c r="W398" t="n">
        <x:v>0</x:v>
      </x:c>
    </x:row>
    <x:row r="399">
      <x:c r="J399" t="n">
        <x:v>406</x:v>
      </x:c>
      <x:c r="K399" t="str">
        <x:v>Sleepless in Seattle</x:v>
      </x:c>
      <x:c r="L399" t="n">
        <x:v>34145</x:v>
      </x:c>
      <x:c r="M399" t="n">
        <x:v>105</x:v>
      </x:c>
      <x:c r="N399" t="str">
        <x:v>Romance</x:v>
      </x:c>
      <x:c r="O399" t="str">
        <x:v>Nora Ephron</x:v>
      </x:c>
      <x:c r="P399" t="str">
        <x:v>TriStar Pictures</x:v>
      </x:c>
      <x:c r="Q399" t="str">
        <x:v>United States</x:v>
      </x:c>
      <x:c r="R399" t="str">
        <x:v>English</x:v>
      </x:c>
      <x:c r="S399" t="str">
        <x:v>PG</x:v>
      </x:c>
      <x:c r="T399" t="n">
        <x:v>21000000</x:v>
      </x:c>
      <x:c r="U399" t="n">
        <x:v>227800000</x:v>
      </x:c>
      <x:c r="V399" t="n">
        <x:v>2</x:v>
      </x:c>
      <x:c r="W399" t="n">
        <x:v>0</x:v>
      </x:c>
    </x:row>
    <x:row r="400">
      <x:c r="J400" t="n">
        <x:v>407</x:v>
      </x:c>
      <x:c r="K400" t="str">
        <x:v>Philadelphia</x:v>
      </x:c>
      <x:c r="L400" t="n">
        <x:v>34325</x:v>
      </x:c>
      <x:c r="M400" t="n">
        <x:v>126</x:v>
      </x:c>
      <x:c r="N400" t="str">
        <x:v>Drama</x:v>
      </x:c>
      <x:c r="O400" t="str">
        <x:v>Jonathan Demme</x:v>
      </x:c>
      <x:c r="P400" t="str">
        <x:v>TriStar Pictures</x:v>
      </x:c>
      <x:c r="Q400" t="str">
        <x:v>United States</x:v>
      </x:c>
      <x:c r="R400" t="str">
        <x:v>English</x:v>
      </x:c>
      <x:c r="S400" t="n">
        <x:v>12</x:v>
      </x:c>
      <x:c r="T400" t="n">
        <x:v>26000000</x:v>
      </x:c>
      <x:c r="U400" t="n">
        <x:v>206700000</x:v>
      </x:c>
      <x:c r="V400" t="n">
        <x:v>5</x:v>
      </x:c>
      <x:c r="W400" t="n">
        <x:v>2</x:v>
      </x:c>
    </x:row>
    <x:row r="401">
      <x:c r="J401" t="n">
        <x:v>408</x:v>
      </x:c>
      <x:c r="K401" t="str">
        <x:v>The Pelican Brief</x:v>
      </x:c>
      <x:c r="L401" t="n">
        <x:v>34320</x:v>
      </x:c>
      <x:c r="M401" t="n">
        <x:v>141</x:v>
      </x:c>
      <x:c r="N401" t="str">
        <x:v>Thriller</x:v>
      </x:c>
      <x:c r="O401" t="str">
        <x:v>Alan J. Pakula</x:v>
      </x:c>
      <x:c r="P401" t="str">
        <x:v>Warner Bros. Pictures</x:v>
      </x:c>
      <x:c r="Q401" t="str">
        <x:v>United States</x:v>
      </x:c>
      <x:c r="R401" t="str">
        <x:v>English</x:v>
      </x:c>
      <x:c r="S401" t="n">
        <x:v>12</x:v>
      </x:c>
      <x:c r="T401" t="n">
        <x:v>45000000</x:v>
      </x:c>
      <x:c r="U401" t="n">
        <x:v>195300000</x:v>
      </x:c>
      <x:c r="V401" t="n">
        <x:v>0</x:v>
      </x:c>
      <x:c r="W401" t="n">
        <x:v>0</x:v>
      </x:c>
    </x:row>
    <x:row r="402">
      <x:c r="J402" t="n">
        <x:v>409</x:v>
      </x:c>
      <x:c r="K402" t="str">
        <x:v>Aladdin</x:v>
      </x:c>
      <x:c r="L402" t="n">
        <x:v>33933</x:v>
      </x:c>
      <x:c r="M402" t="n">
        <x:v>90</x:v>
      </x:c>
      <x:c r="N402" t="str">
        <x:v>Animation</x:v>
      </x:c>
      <x:c r="O402" t="str">
        <x:v>Ron Clements</x:v>
      </x:c>
      <x:c r="P402" t="str">
        <x:v>Walt Disney Pictures</x:v>
      </x:c>
      <x:c r="Q402" t="str">
        <x:v>United States</x:v>
      </x:c>
      <x:c r="R402" t="str">
        <x:v>English</x:v>
      </x:c>
      <x:c r="S402" t="str">
        <x:v>U</x:v>
      </x:c>
      <x:c r="T402" t="n">
        <x:v>28000000</x:v>
      </x:c>
      <x:c r="U402" t="n">
        <x:v>504100000</x:v>
      </x:c>
      <x:c r="V402" t="n">
        <x:v>5</x:v>
      </x:c>
      <x:c r="W402" t="n">
        <x:v>2</x:v>
      </x:c>
    </x:row>
    <x:row r="403">
      <x:c r="J403" t="n">
        <x:v>410</x:v>
      </x:c>
      <x:c r="K403" t="str">
        <x:v>The Bodyguard</x:v>
      </x:c>
      <x:c r="L403" t="n">
        <x:v>33933</x:v>
      </x:c>
      <x:c r="M403" t="n">
        <x:v>129</x:v>
      </x:c>
      <x:c r="N403" t="str">
        <x:v>Thriller</x:v>
      </x:c>
      <x:c r="O403" t="str">
        <x:v>Mick Jackson</x:v>
      </x:c>
      <x:c r="P403" t="str">
        <x:v>Tig Productions</x:v>
      </x:c>
      <x:c r="Q403" t="str">
        <x:v>United States</x:v>
      </x:c>
      <x:c r="R403" t="str">
        <x:v>English</x:v>
      </x:c>
      <x:c r="S403" t="n">
        <x:v>15</x:v>
      </x:c>
      <x:c r="T403" t="n">
        <x:v>25000000</x:v>
      </x:c>
      <x:c r="U403" t="n">
        <x:v>411000000</x:v>
      </x:c>
      <x:c r="V403" t="n">
        <x:v>2</x:v>
      </x:c>
      <x:c r="W403" t="n">
        <x:v>0</x:v>
      </x:c>
    </x:row>
    <x:row r="404">
      <x:c r="J404" t="n">
        <x:v>411</x:v>
      </x:c>
      <x:c r="K404" t="str">
        <x:v>Home Alone 2: Lost in New York</x:v>
      </x:c>
      <x:c r="L404" t="n">
        <x:v>33928</x:v>
      </x:c>
      <x:c r="M404" t="n">
        <x:v>120</x:v>
      </x:c>
      <x:c r="N404" t="str">
        <x:v>Family</x:v>
      </x:c>
      <x:c r="O404" t="str">
        <x:v>Chris Columbus</x:v>
      </x:c>
      <x:c r="P404" t="str">
        <x:v>Hughes Entertainment</x:v>
      </x:c>
      <x:c r="Q404" t="str">
        <x:v>United States</x:v>
      </x:c>
      <x:c r="R404" t="str">
        <x:v>English</x:v>
      </x:c>
      <x:c r="S404" t="str">
        <x:v>PG</x:v>
      </x:c>
      <x:c r="T404" t="n">
        <x:v>20000000</x:v>
      </x:c>
      <x:c r="U404" t="n">
        <x:v>359000000</x:v>
      </x:c>
      <x:c r="V404" t="n">
        <x:v>0</x:v>
      </x:c>
      <x:c r="W404" t="n">
        <x:v>0</x:v>
      </x:c>
    </x:row>
    <x:row r="405">
      <x:c r="J405" t="n">
        <x:v>412</x:v>
      </x:c>
      <x:c r="K405" t="str">
        <x:v>Basic Instinct</x:v>
      </x:c>
      <x:c r="L405" t="n">
        <x:v>33732</x:v>
      </x:c>
      <x:c r="M405" t="n">
        <x:v>128</x:v>
      </x:c>
      <x:c r="N405" t="str">
        <x:v>Thriller</x:v>
      </x:c>
      <x:c r="O405" t="str">
        <x:v>Paul Verhoeven</x:v>
      </x:c>
      <x:c r="P405" t="str">
        <x:v>Carolco Pictures</x:v>
      </x:c>
      <x:c r="Q405" t="str">
        <x:v>United States</x:v>
      </x:c>
      <x:c r="R405" t="str">
        <x:v>English</x:v>
      </x:c>
      <x:c r="S405" t="n">
        <x:v>18</x:v>
      </x:c>
      <x:c r="T405" t="n">
        <x:v>49000000</x:v>
      </x:c>
      <x:c r="U405" t="n">
        <x:v>352900000</x:v>
      </x:c>
      <x:c r="V405" t="n">
        <x:v>2</x:v>
      </x:c>
      <x:c r="W405" t="n">
        <x:v>0</x:v>
      </x:c>
    </x:row>
    <x:row r="406">
      <x:c r="J406" t="n">
        <x:v>413</x:v>
      </x:c>
      <x:c r="K406" t="str">
        <x:v>Batman Returns</x:v>
      </x:c>
      <x:c r="L406" t="n">
        <x:v>33774</x:v>
      </x:c>
      <x:c r="M406" t="n">
        <x:v>126</x:v>
      </x:c>
      <x:c r="N406" t="str">
        <x:v>Action</x:v>
      </x:c>
      <x:c r="O406" t="str">
        <x:v>Tim Burton</x:v>
      </x:c>
      <x:c r="P406" t="str">
        <x:v>Polygram Filmed Entertainment</x:v>
      </x:c>
      <x:c r="Q406" t="str">
        <x:v>United States</x:v>
      </x:c>
      <x:c r="R406" t="str">
        <x:v>English</x:v>
      </x:c>
      <x:c r="S406" t="str">
        <x:v>PG</x:v>
      </x:c>
      <x:c r="T406" t="n">
        <x:v>80000000</x:v>
      </x:c>
      <x:c r="U406" t="n">
        <x:v>266800000</x:v>
      </x:c>
      <x:c r="V406" t="n">
        <x:v>2</x:v>
      </x:c>
      <x:c r="W406" t="n">
        <x:v>0</x:v>
      </x:c>
    </x:row>
    <x:row r="407">
      <x:c r="J407" t="n">
        <x:v>414</x:v>
      </x:c>
      <x:c r="K407" t="str">
        <x:v>A Few Good Men</x:v>
      </x:c>
      <x:c r="L407" t="n">
        <x:v>33949</x:v>
      </x:c>
      <x:c r="M407" t="n">
        <x:v>138</x:v>
      </x:c>
      <x:c r="N407" t="str">
        <x:v>Drama</x:v>
      </x:c>
      <x:c r="O407" t="str">
        <x:v>Rob Reiner</x:v>
      </x:c>
      <x:c r="P407" t="str">
        <x:v>Castle Rock Entertainment</x:v>
      </x:c>
      <x:c r="Q407" t="str">
        <x:v>United States</x:v>
      </x:c>
      <x:c r="R407" t="str">
        <x:v>English</x:v>
      </x:c>
      <x:c r="S407" t="n">
        <x:v>15</x:v>
      </x:c>
      <x:c r="T407" t="n">
        <x:v>40000000</x:v>
      </x:c>
      <x:c r="U407" t="n">
        <x:v>243200000</x:v>
      </x:c>
      <x:c r="V407" t="n">
        <x:v>4</x:v>
      </x:c>
      <x:c r="W407" t="n">
        <x:v>0</x:v>
      </x:c>
    </x:row>
    <x:row r="408">
      <x:c r="J408" t="n">
        <x:v>415</x:v>
      </x:c>
      <x:c r="K408" t="str">
        <x:v>Sister Act</x:v>
      </x:c>
      <x:c r="L408" t="n">
        <x:v>33753</x:v>
      </x:c>
      <x:c r="M408" t="n">
        <x:v>100</x:v>
      </x:c>
      <x:c r="N408" t="str">
        <x:v>Comedy</x:v>
      </x:c>
      <x:c r="O408" t="str">
        <x:v>Emile Ardolino</x:v>
      </x:c>
      <x:c r="P408" t="str">
        <x:v>Touchstone Pictures</x:v>
      </x:c>
      <x:c r="Q408" t="str">
        <x:v>United States</x:v>
      </x:c>
      <x:c r="R408" t="str">
        <x:v>English</x:v>
      </x:c>
      <x:c r="S408" t="str">
        <x:v>PG</x:v>
      </x:c>
      <x:c r="T408" t="n">
        <x:v>31000000</x:v>
      </x:c>
      <x:c r="U408" t="n">
        <x:v>231600000</x:v>
      </x:c>
      <x:c r="V408" t="n">
        <x:v>0</x:v>
      </x:c>
      <x:c r="W408" t="n">
        <x:v>0</x:v>
      </x:c>
    </x:row>
    <x:row r="409">
      <x:c r="J409" t="n">
        <x:v>416</x:v>
      </x:c>
      <x:c r="K409" t="str">
        <x:v>Bram Stoker's Dracula</x:v>
      </x:c>
      <x:c r="L409" t="n">
        <x:v>33921</x:v>
      </x:c>
      <x:c r="M409" t="n">
        <x:v>128</x:v>
      </x:c>
      <x:c r="N409" t="str">
        <x:v>Horror</x:v>
      </x:c>
      <x:c r="O409" t="str">
        <x:v>Francis Ford Coppola</x:v>
      </x:c>
      <x:c r="P409" t="str">
        <x:v>Columbia Pictures</x:v>
      </x:c>
      <x:c r="Q409" t="str">
        <x:v>United States</x:v>
      </x:c>
      <x:c r="R409" t="str">
        <x:v>English</x:v>
      </x:c>
      <x:c r="S409" t="n">
        <x:v>18</x:v>
      </x:c>
      <x:c r="T409" t="n">
        <x:v>40000000</x:v>
      </x:c>
      <x:c r="U409" t="n">
        <x:v>215900000</x:v>
      </x:c>
      <x:c r="V409" t="n">
        <x:v>4</x:v>
      </x:c>
      <x:c r="W409" t="n">
        <x:v>3</x:v>
      </x:c>
    </x:row>
    <x:row r="410">
      <x:c r="J410" t="n">
        <x:v>417</x:v>
      </x:c>
      <x:c r="K410" t="str">
        <x:v>Wayne's World</x:v>
      </x:c>
      <x:c r="L410" t="n">
        <x:v>33648</x:v>
      </x:c>
      <x:c r="M410" t="n">
        <x:v>95</x:v>
      </x:c>
      <x:c r="N410" t="str">
        <x:v>Comedy</x:v>
      </x:c>
      <x:c r="O410" t="str">
        <x:v>Penelope Spheeris</x:v>
      </x:c>
      <x:c r="P410" t="str">
        <x:v>Paramount Pictures</x:v>
      </x:c>
      <x:c r="Q410" t="str">
        <x:v>United States</x:v>
      </x:c>
      <x:c r="R410" t="str">
        <x:v>English</x:v>
      </x:c>
      <x:c r="S410" t="str">
        <x:v>PG</x:v>
      </x:c>
      <x:c r="T410" t="n">
        <x:v>20000000</x:v>
      </x:c>
      <x:c r="U410" t="n">
        <x:v>183100000</x:v>
      </x:c>
      <x:c r="V410" t="n">
        <x:v>0</x:v>
      </x:c>
      <x:c r="W410" t="n">
        <x:v>0</x:v>
      </x:c>
    </x:row>
    <x:row r="411">
      <x:c r="J411" t="n">
        <x:v>418</x:v>
      </x:c>
      <x:c r="K411" t="str">
        <x:v>Beauty and the Beast</x:v>
      </x:c>
      <x:c r="L411" t="n">
        <x:v>33564</x:v>
      </x:c>
      <x:c r="M411" t="n">
        <x:v>84</x:v>
      </x:c>
      <x:c r="N411" t="str">
        <x:v>Animation</x:v>
      </x:c>
      <x:c r="O411" t="str">
        <x:v>Gary Trousdale</x:v>
      </x:c>
      <x:c r="P411" t="str">
        <x:v>Walt Disney Pictures</x:v>
      </x:c>
      <x:c r="Q411" t="str">
        <x:v>United States</x:v>
      </x:c>
      <x:c r="R411" t="str">
        <x:v>English</x:v>
      </x:c>
      <x:c r="S411" t="str">
        <x:v>U</x:v>
      </x:c>
      <x:c r="T411" t="n">
        <x:v>25000000</x:v>
      </x:c>
      <x:c r="U411" t="n">
        <x:v>425000000</x:v>
      </x:c>
      <x:c r="V411" t="n">
        <x:v>6</x:v>
      </x:c>
      <x:c r="W411" t="n">
        <x:v>2</x:v>
      </x:c>
    </x:row>
    <x:row r="412">
      <x:c r="J412" t="n">
        <x:v>419</x:v>
      </x:c>
      <x:c r="K412" t="str">
        <x:v>Hook</x:v>
      </x:c>
      <x:c r="L412" t="n">
        <x:v>33583</x:v>
      </x:c>
      <x:c r="M412" t="n">
        <x:v>144</x:v>
      </x:c>
      <x:c r="N412" t="str">
        <x:v>Adventure</x:v>
      </x:c>
      <x:c r="O412" t="str">
        <x:v>Steven Spielberg</x:v>
      </x:c>
      <x:c r="P412" t="str">
        <x:v>Amblin Entertainment</x:v>
      </x:c>
      <x:c r="Q412" t="str">
        <x:v>United States</x:v>
      </x:c>
      <x:c r="R412" t="str">
        <x:v>English</x:v>
      </x:c>
      <x:c r="S412" t="str">
        <x:v>U</x:v>
      </x:c>
      <x:c r="T412" t="n">
        <x:v>70000000</x:v>
      </x:c>
      <x:c r="U412" t="n">
        <x:v>300900000</x:v>
      </x:c>
      <x:c r="V412" t="n">
        <x:v>5</x:v>
      </x:c>
      <x:c r="W412" t="n">
        <x:v>0</x:v>
      </x:c>
    </x:row>
    <x:row r="413">
      <x:c r="J413" t="n">
        <x:v>420</x:v>
      </x:c>
      <x:c r="K413" t="str">
        <x:v>The Silence of the Lambs</x:v>
      </x:c>
      <x:c r="L413" t="n">
        <x:v>33283</x:v>
      </x:c>
      <x:c r="M413" t="n">
        <x:v>118</x:v>
      </x:c>
      <x:c r="N413" t="str">
        <x:v>Thriller</x:v>
      </x:c>
      <x:c r="O413" t="str">
        <x:v>Jonathan Demme</x:v>
      </x:c>
      <x:c r="P413" t="str">
        <x:v>Strong Heart/Demme Production</x:v>
      </x:c>
      <x:c r="Q413" t="str">
        <x:v>United States</x:v>
      </x:c>
      <x:c r="R413" t="str">
        <x:v>English</x:v>
      </x:c>
      <x:c r="S413" t="n">
        <x:v>18</x:v>
      </x:c>
      <x:c r="T413" t="n">
        <x:v>19000000</x:v>
      </x:c>
      <x:c r="U413" t="n">
        <x:v>272700000</x:v>
      </x:c>
      <x:c r="V413" t="n">
        <x:v>7</x:v>
      </x:c>
      <x:c r="W413" t="n">
        <x:v>5</x:v>
      </x:c>
    </x:row>
    <x:row r="414">
      <x:c r="J414" t="n">
        <x:v>421</x:v>
      </x:c>
      <x:c r="K414" t="str">
        <x:v>JFK</x:v>
      </x:c>
      <x:c r="L414" t="n">
        <x:v>33592</x:v>
      </x:c>
      <x:c r="M414" t="n">
        <x:v>188</x:v>
      </x:c>
      <x:c r="N414" t="str">
        <x:v>Thriller</x:v>
      </x:c>
      <x:c r="O414" t="str">
        <x:v>Oliver Stone</x:v>
      </x:c>
      <x:c r="P414" t="str">
        <x:v>Regency Enterprises</x:v>
      </x:c>
      <x:c r="Q414" t="str">
        <x:v>United States</x:v>
      </x:c>
      <x:c r="R414" t="str">
        <x:v>English</x:v>
      </x:c>
      <x:c r="S414" t="n">
        <x:v>15</x:v>
      </x:c>
      <x:c r="T414" t="n">
        <x:v>40000000</x:v>
      </x:c>
      <x:c r="U414" t="n">
        <x:v>205400000</x:v>
      </x:c>
      <x:c r="V414" t="n">
        <x:v>8</x:v>
      </x:c>
      <x:c r="W414" t="n">
        <x:v>2</x:v>
      </x:c>
    </x:row>
    <x:row r="415">
      <x:c r="J415" t="n">
        <x:v>422</x:v>
      </x:c>
      <x:c r="K415" t="str">
        <x:v>The Addams Family</x:v>
      </x:c>
      <x:c r="L415" t="n">
        <x:v>33564</x:v>
      </x:c>
      <x:c r="M415" t="n">
        <x:v>99</x:v>
      </x:c>
      <x:c r="N415" t="str">
        <x:v>Comedy</x:v>
      </x:c>
      <x:c r="O415" t="str">
        <x:v>Barry Sonnenfeld</x:v>
      </x:c>
      <x:c r="P415" t="str">
        <x:v>Orion Pictures</x:v>
      </x:c>
      <x:c r="Q415" t="str">
        <x:v>United States</x:v>
      </x:c>
      <x:c r="R415" t="str">
        <x:v>English</x:v>
      </x:c>
      <x:c r="S415" t="str">
        <x:v>PG</x:v>
      </x:c>
      <x:c r="T415" t="n">
        <x:v>30000000</x:v>
      </x:c>
      <x:c r="U415" t="n">
        <x:v>191500000</x:v>
      </x:c>
      <x:c r="V415" t="n">
        <x:v>1</x:v>
      </x:c>
      <x:c r="W415" t="n">
        <x:v>0</x:v>
      </x:c>
    </x:row>
    <x:row r="416">
      <x:c r="J416" t="n">
        <x:v>423</x:v>
      </x:c>
      <x:c r="K416" t="str">
        <x:v>Cape Fear</x:v>
      </x:c>
      <x:c r="L416" t="n">
        <x:v>33555</x:v>
      </x:c>
      <x:c r="M416" t="n">
        <x:v>128</x:v>
      </x:c>
      <x:c r="N416" t="str">
        <x:v>Thriller</x:v>
      </x:c>
      <x:c r="O416" t="str">
        <x:v>Martin Scorsese</x:v>
      </x:c>
      <x:c r="P416" t="str">
        <x:v>Amblin Entertainment</x:v>
      </x:c>
      <x:c r="Q416" t="str">
        <x:v>United States</x:v>
      </x:c>
      <x:c r="R416" t="str">
        <x:v>English</x:v>
      </x:c>
      <x:c r="S416" t="n">
        <x:v>18</x:v>
      </x:c>
      <x:c r="T416" t="n">
        <x:v>35000000</x:v>
      </x:c>
      <x:c r="U416" t="n">
        <x:v>182300000</x:v>
      </x:c>
      <x:c r="V416" t="n">
        <x:v>2</x:v>
      </x:c>
      <x:c r="W416" t="n">
        <x:v>0</x:v>
      </x:c>
    </x:row>
    <x:row r="417">
      <x:c r="J417" t="n">
        <x:v>424</x:v>
      </x:c>
      <x:c r="K417" t="str">
        <x:v>Hot Shots!</x:v>
      </x:c>
      <x:c r="L417" t="n">
        <x:v>33450</x:v>
      </x:c>
      <x:c r="M417" t="n">
        <x:v>84</x:v>
      </x:c>
      <x:c r="N417" t="str">
        <x:v>Comedy</x:v>
      </x:c>
      <x:c r="O417" t="str">
        <x:v>Jim Abrahams</x:v>
      </x:c>
      <x:c r="P417" t="str">
        <x:v>20th Century Fox</x:v>
      </x:c>
      <x:c r="Q417" t="str">
        <x:v>United States</x:v>
      </x:c>
      <x:c r="R417" t="str">
        <x:v>English</x:v>
      </x:c>
      <x:c r="S417" t="n">
        <x:v>12</x:v>
      </x:c>
      <x:c r="T417" t="n">
        <x:v>26000000</x:v>
      </x:c>
      <x:c r="U417" t="n">
        <x:v>181100000</x:v>
      </x:c>
      <x:c r="V417" t="n">
        <x:v>0</x:v>
      </x:c>
      <x:c r="W417" t="n">
        <x:v>0</x:v>
      </x:c>
    </x:row>
    <x:row r="418">
      <x:c r="J418" t="n">
        <x:v>425</x:v>
      </x:c>
      <x:c r="K418" t="str">
        <x:v>City Slickers</x:v>
      </x:c>
      <x:c r="L418" t="n">
        <x:v>33396</x:v>
      </x:c>
      <x:c r="M418" t="n">
        <x:v>112</x:v>
      </x:c>
      <x:c r="N418" t="str">
        <x:v>Comedy</x:v>
      </x:c>
      <x:c r="O418" t="str">
        <x:v>Ron Underwood</x:v>
      </x:c>
      <x:c r="P418" t="str">
        <x:v>Castle Rock Entertainment</x:v>
      </x:c>
      <x:c r="Q418" t="str">
        <x:v>United States</x:v>
      </x:c>
      <x:c r="R418" t="str">
        <x:v>English</x:v>
      </x:c>
      <x:c r="S418" t="n">
        <x:v>12</x:v>
      </x:c>
      <x:c r="T418" t="n">
        <x:v>26000000</x:v>
      </x:c>
      <x:c r="U418" t="n">
        <x:v>179033791</x:v>
      </x:c>
      <x:c r="V418" t="n">
        <x:v>1</x:v>
      </x:c>
      <x:c r="W418" t="n">
        <x:v>1</x:v>
      </x:c>
    </x:row>
    <x:row r="419">
      <x:c r="J419" t="n">
        <x:v>426</x:v>
      </x:c>
      <x:c r="K419" t="str">
        <x:v>Ghost</x:v>
      </x:c>
      <x:c r="L419" t="n">
        <x:v>33067</x:v>
      </x:c>
      <x:c r="M419" t="n">
        <x:v>127</x:v>
      </x:c>
      <x:c r="N419" t="str">
        <x:v>Romance</x:v>
      </x:c>
      <x:c r="O419" t="str">
        <x:v>Jerry Zucker</x:v>
      </x:c>
      <x:c r="P419" t="str">
        <x:v>Paramount Pictures</x:v>
      </x:c>
      <x:c r="Q419" t="str">
        <x:v>United States</x:v>
      </x:c>
      <x:c r="R419" t="str">
        <x:v>English</x:v>
      </x:c>
      <x:c r="S419" t="n">
        <x:v>12</x:v>
      </x:c>
      <x:c r="T419" t="n">
        <x:v>22000000</x:v>
      </x:c>
      <x:c r="U419" t="n">
        <x:v>505700000</x:v>
      </x:c>
      <x:c r="V419" t="n">
        <x:v>5</x:v>
      </x:c>
      <x:c r="W419" t="n">
        <x:v>2</x:v>
      </x:c>
    </x:row>
    <x:row r="420">
      <x:c r="J420" t="n">
        <x:v>427</x:v>
      </x:c>
      <x:c r="K420" t="str">
        <x:v>Home Alone</x:v>
      </x:c>
      <x:c r="L420" t="n">
        <x:v>33193</x:v>
      </x:c>
      <x:c r="M420" t="n">
        <x:v>102</x:v>
      </x:c>
      <x:c r="N420" t="str">
        <x:v>Comedy</x:v>
      </x:c>
      <x:c r="O420" t="str">
        <x:v>Chris Columbus</x:v>
      </x:c>
      <x:c r="P420" t="str">
        <x:v>Hughes Entertainment</x:v>
      </x:c>
      <x:c r="Q420" t="str">
        <x:v>United States</x:v>
      </x:c>
      <x:c r="R420" t="str">
        <x:v>English</x:v>
      </x:c>
      <x:c r="S420" t="str">
        <x:v>PG</x:v>
      </x:c>
      <x:c r="T420" t="n">
        <x:v>18000000</x:v>
      </x:c>
      <x:c r="U420" t="n">
        <x:v>476700000</x:v>
      </x:c>
      <x:c r="V420" t="n">
        <x:v>2</x:v>
      </x:c>
      <x:c r="W420" t="n">
        <x:v>0</x:v>
      </x:c>
    </x:row>
    <x:row r="421">
      <x:c r="J421" t="n">
        <x:v>428</x:v>
      </x:c>
      <x:c r="K421" t="str">
        <x:v>Pretty Woman</x:v>
      </x:c>
      <x:c r="L421" t="n">
        <x:v>32955</x:v>
      </x:c>
      <x:c r="M421" t="n">
        <x:v>119</x:v>
      </x:c>
      <x:c r="N421" t="str">
        <x:v>Romance</x:v>
      </x:c>
      <x:c r="O421" t="str">
        <x:v>Garry Marshall</x:v>
      </x:c>
      <x:c r="P421" t="str">
        <x:v>Touchstone Pictures</x:v>
      </x:c>
      <x:c r="Q421" t="str">
        <x:v>United States</x:v>
      </x:c>
      <x:c r="R421" t="str">
        <x:v>English</x:v>
      </x:c>
      <x:c r="S421" t="n">
        <x:v>15</x:v>
      </x:c>
      <x:c r="T421" t="n">
        <x:v>14000000</x:v>
      </x:c>
      <x:c r="U421" t="n">
        <x:v>463400000</x:v>
      </x:c>
      <x:c r="V421" t="n">
        <x:v>1</x:v>
      </x:c>
      <x:c r="W421" t="n">
        <x:v>0</x:v>
      </x:c>
    </x:row>
    <x:row r="422">
      <x:c r="J422" t="n">
        <x:v>430</x:v>
      </x:c>
      <x:c r="K422" t="str">
        <x:v>Teenage Mutant Ninja Turtles</x:v>
      </x:c>
      <x:c r="L422" t="n">
        <x:v>32962</x:v>
      </x:c>
      <x:c r="M422" t="n">
        <x:v>93</x:v>
      </x:c>
      <x:c r="N422" t="str">
        <x:v>Action</x:v>
      </x:c>
      <x:c r="O422" t="str">
        <x:v>Steve Barron</x:v>
      </x:c>
      <x:c r="P422" t="str">
        <x:v>Golden Harvest</x:v>
      </x:c>
      <x:c r="Q422" t="str">
        <x:v>United States</x:v>
      </x:c>
      <x:c r="R422" t="str">
        <x:v>English</x:v>
      </x:c>
      <x:c r="S422" t="str">
        <x:v>PG</x:v>
      </x:c>
      <x:c r="T422" t="n">
        <x:v>13500000</x:v>
      </x:c>
      <x:c r="U422" t="n">
        <x:v>201900000</x:v>
      </x:c>
      <x:c r="V422" t="n">
        <x:v>0</x:v>
      </x:c>
      <x:c r="W422" t="n">
        <x:v>0</x:v>
      </x:c>
    </x:row>
    <x:row r="423">
      <x:c r="J423" t="n">
        <x:v>431</x:v>
      </x:c>
      <x:c r="K423" t="str">
        <x:v>Batman</x:v>
      </x:c>
      <x:c r="L423" t="n">
        <x:v>32682</x:v>
      </x:c>
      <x:c r="M423" t="n">
        <x:v>126</x:v>
      </x:c>
      <x:c r="N423" t="str">
        <x:v>Action</x:v>
      </x:c>
      <x:c r="O423" t="str">
        <x:v>Tim Burton</x:v>
      </x:c>
      <x:c r="P423" t="str">
        <x:v>Polygram Filmed Entertainment</x:v>
      </x:c>
      <x:c r="Q423" t="str">
        <x:v>United States</x:v>
      </x:c>
      <x:c r="R423" t="str">
        <x:v>English</x:v>
      </x:c>
      <x:c r="S423" t="n">
        <x:v>12</x:v>
      </x:c>
      <x:c r="T423" t="n">
        <x:v>35000000</x:v>
      </x:c>
      <x:c r="U423" t="n">
        <x:v>411300000</x:v>
      </x:c>
      <x:c r="V423" t="n">
        <x:v>1</x:v>
      </x:c>
      <x:c r="W423" t="n">
        <x:v>1</x:v>
      </x:c>
    </x:row>
    <x:row r="424">
      <x:c r="J424" t="n">
        <x:v>432</x:v>
      </x:c>
      <x:c r="K424" t="str">
        <x:v>Look Who's Talking</x:v>
      </x:c>
      <x:c r="L424" t="n">
        <x:v>32794</x:v>
      </x:c>
      <x:c r="M424" t="n">
        <x:v>96</x:v>
      </x:c>
      <x:c r="N424" t="str">
        <x:v>Comedy</x:v>
      </x:c>
      <x:c r="O424" t="str">
        <x:v>Amy Heckerling</x:v>
      </x:c>
      <x:c r="P424" t="str">
        <x:v>TriStar Pictures</x:v>
      </x:c>
      <x:c r="Q424" t="str">
        <x:v>United States</x:v>
      </x:c>
      <x:c r="R424" t="str">
        <x:v>English</x:v>
      </x:c>
      <x:c r="S424" t="n">
        <x:v>12</x:v>
      </x:c>
      <x:c r="T424" t="n">
        <x:v>7500000</x:v>
      </x:c>
      <x:c r="U424" t="n">
        <x:v>297000000</x:v>
      </x:c>
      <x:c r="V424" t="n">
        <x:v>0</x:v>
      </x:c>
      <x:c r="W424" t="n">
        <x:v>0</x:v>
      </x:c>
    </x:row>
    <x:row r="425">
      <x:c r="J425" t="n">
        <x:v>433</x:v>
      </x:c>
      <x:c r="K425" t="str">
        <x:v>Dead Poets Society</x:v>
      </x:c>
      <x:c r="L425" t="n">
        <x:v>32661</x:v>
      </x:c>
      <x:c r="M425" t="n">
        <x:v>128</x:v>
      </x:c>
      <x:c r="N425" t="str">
        <x:v>Drama</x:v>
      </x:c>
      <x:c r="O425" t="str">
        <x:v>Peter Weir</x:v>
      </x:c>
      <x:c r="P425" t="str">
        <x:v>Touchstone Pictures</x:v>
      </x:c>
      <x:c r="Q425" t="str">
        <x:v>United States</x:v>
      </x:c>
      <x:c r="R425" t="str">
        <x:v>English</x:v>
      </x:c>
      <x:c r="S425" t="str">
        <x:v>PG</x:v>
      </x:c>
      <x:c r="T425" t="n">
        <x:v>16400000</x:v>
      </x:c>
      <x:c r="U425" t="n">
        <x:v>235800000</x:v>
      </x:c>
      <x:c r="V425" t="n">
        <x:v>4</x:v>
      </x:c>
      <x:c r="W425" t="n">
        <x:v>1</x:v>
      </x:c>
    </x:row>
    <x:row r="426">
      <x:c r="J426" t="n">
        <x:v>434</x:v>
      </x:c>
      <x:c r="K426" t="str">
        <x:v>Honey, I Shrunk the Kids</x:v>
      </x:c>
      <x:c r="L426" t="n">
        <x:v>32682</x:v>
      </x:c>
      <x:c r="M426" t="n">
        <x:v>94</x:v>
      </x:c>
      <x:c r="N426" t="str">
        <x:v>Adventure</x:v>
      </x:c>
      <x:c r="O426" t="str">
        <x:v>Joe Johnston</x:v>
      </x:c>
      <x:c r="P426" t="str">
        <x:v>Walt Disney Pictures</x:v>
      </x:c>
      <x:c r="Q426" t="str">
        <x:v>United States</x:v>
      </x:c>
      <x:c r="R426" t="str">
        <x:v>English</x:v>
      </x:c>
      <x:c r="S426" t="str">
        <x:v>U</x:v>
      </x:c>
      <x:c r="T426" t="n">
        <x:v>18000000</x:v>
      </x:c>
      <x:c r="U426" t="n">
        <x:v>222700000</x:v>
      </x:c>
      <x:c r="V426" t="n">
        <x:v>0</x:v>
      </x:c>
      <x:c r="W426" t="n">
        <x:v>0</x:v>
      </x:c>
    </x:row>
    <x:row r="427">
      <x:c r="J427" t="n">
        <x:v>435</x:v>
      </x:c>
      <x:c r="K427" t="str">
        <x:v>Ghostbusters II</x:v>
      </x:c>
      <x:c r="L427" t="n">
        <x:v>32675</x:v>
      </x:c>
      <x:c r="M427" t="n">
        <x:v>108</x:v>
      </x:c>
      <x:c r="N427" t="str">
        <x:v>Comedy</x:v>
      </x:c>
      <x:c r="O427" t="str">
        <x:v>Ivan Reitman</x:v>
      </x:c>
      <x:c r="P427" t="str">
        <x:v>Columbia Pictures</x:v>
      </x:c>
      <x:c r="Q427" t="str">
        <x:v>United States</x:v>
      </x:c>
      <x:c r="R427" t="str">
        <x:v>English</x:v>
      </x:c>
      <x:c r="S427" t="str">
        <x:v>PG</x:v>
      </x:c>
      <x:c r="T427" t="n">
        <x:v>37000000</x:v>
      </x:c>
      <x:c r="U427" t="n">
        <x:v>215400000</x:v>
      </x:c>
      <x:c r="V427" t="n">
        <x:v>0</x:v>
      </x:c>
      <x:c r="W427" t="n">
        <x:v>0</x:v>
      </x:c>
    </x:row>
    <x:row r="428">
      <x:c r="J428" t="n">
        <x:v>436</x:v>
      </x:c>
      <x:c r="K428" t="str">
        <x:v>The Little Mermaid</x:v>
      </x:c>
      <x:c r="L428" t="n">
        <x:v>32829</x:v>
      </x:c>
      <x:c r="M428" t="n">
        <x:v>82</x:v>
      </x:c>
      <x:c r="N428" t="str">
        <x:v>Animation</x:v>
      </x:c>
      <x:c r="O428" t="str">
        <x:v>Ron Clements</x:v>
      </x:c>
      <x:c r="P428" t="str">
        <x:v>Walt Disney Pictures</x:v>
      </x:c>
      <x:c r="Q428" t="str">
        <x:v>United States</x:v>
      </x:c>
      <x:c r="R428" t="str">
        <x:v>English</x:v>
      </x:c>
      <x:c r="S428" t="str">
        <x:v>U</x:v>
      </x:c>
      <x:c r="T428" t="n">
        <x:v>40000000</x:v>
      </x:c>
      <x:c r="U428" t="n">
        <x:v>211300000</x:v>
      </x:c>
      <x:c r="V428" t="n">
        <x:v>3</x:v>
      </x:c>
      <x:c r="W428" t="n">
        <x:v>2</x:v>
      </x:c>
    </x:row>
    <x:row r="429">
      <x:c r="J429" t="n">
        <x:v>437</x:v>
      </x:c>
      <x:c r="K429" t="str">
        <x:v>Born on the Fourth of July</x:v>
      </x:c>
      <x:c r="L429" t="n">
        <x:v>32862</x:v>
      </x:c>
      <x:c r="M429" t="n">
        <x:v>145</x:v>
      </x:c>
      <x:c r="N429" t="str">
        <x:v>Biography</x:v>
      </x:c>
      <x:c r="O429" t="str">
        <x:v>Oliver Stone</x:v>
      </x:c>
      <x:c r="P429" t="str">
        <x:v>Universal Pictures</x:v>
      </x:c>
      <x:c r="Q429" t="str">
        <x:v>United States</x:v>
      </x:c>
      <x:c r="R429" t="str">
        <x:v>English</x:v>
      </x:c>
      <x:c r="S429" t="n">
        <x:v>18</x:v>
      </x:c>
      <x:c r="T429" t="n">
        <x:v>14000000</x:v>
      </x:c>
      <x:c r="U429" t="n">
        <x:v>161000000</x:v>
      </x:c>
      <x:c r="V429" t="n">
        <x:v>8</x:v>
      </x:c>
      <x:c r="W429" t="n">
        <x:v>2</x:v>
      </x:c>
    </x:row>
    <x:row r="430">
      <x:c r="J430" t="n">
        <x:v>438</x:v>
      </x:c>
      <x:c r="K430" t="str">
        <x:v>Rain Man</x:v>
      </x:c>
      <x:c r="L430" t="n">
        <x:v>32493</x:v>
      </x:c>
      <x:c r="M430" t="n">
        <x:v>133</x:v>
      </x:c>
      <x:c r="N430" t="str">
        <x:v>Drama</x:v>
      </x:c>
      <x:c r="O430" t="str">
        <x:v>Barry Levinson</x:v>
      </x:c>
      <x:c r="P430" t="str">
        <x:v>United Artists</x:v>
      </x:c>
      <x:c r="Q430" t="str">
        <x:v>United States</x:v>
      </x:c>
      <x:c r="R430" t="str">
        <x:v>English</x:v>
      </x:c>
      <x:c r="S430" t="n">
        <x:v>15</x:v>
      </x:c>
      <x:c r="T430" t="n">
        <x:v>25000000</x:v>
      </x:c>
      <x:c r="U430" t="n">
        <x:v>354800000</x:v>
      </x:c>
      <x:c r="V430" t="n">
        <x:v>8</x:v>
      </x:c>
      <x:c r="W430" t="n">
        <x:v>4</x:v>
      </x:c>
    </x:row>
    <x:row r="431">
      <x:c r="J431" t="n">
        <x:v>439</x:v>
      </x:c>
      <x:c r="K431" t="str">
        <x:v>Coming to America</x:v>
      </x:c>
      <x:c r="L431" t="n">
        <x:v>32323</x:v>
      </x:c>
      <x:c r="M431" t="n">
        <x:v>117</x:v>
      </x:c>
      <x:c r="N431" t="str">
        <x:v>Comedy</x:v>
      </x:c>
      <x:c r="O431" t="str">
        <x:v>John Landis</x:v>
      </x:c>
      <x:c r="P431" t="str">
        <x:v>Eddie Murphy Productions</x:v>
      </x:c>
      <x:c r="Q431" t="str">
        <x:v>United States</x:v>
      </x:c>
      <x:c r="R431" t="str">
        <x:v>English</x:v>
      </x:c>
      <x:c r="S431" t="n">
        <x:v>15</x:v>
      </x:c>
      <x:c r="T431" t="n">
        <x:v>39000000</x:v>
      </x:c>
      <x:c r="U431" t="n">
        <x:v>288752301</x:v>
      </x:c>
      <x:c r="V431" t="n">
        <x:v>2</x:v>
      </x:c>
      <x:c r="W431" t="n">
        <x:v>0</x:v>
      </x:c>
    </x:row>
    <x:row r="432">
      <x:c r="J432" t="n">
        <x:v>440</x:v>
      </x:c>
      <x:c r="K432" t="str">
        <x:v>Big</x:v>
      </x:c>
      <x:c r="L432" t="n">
        <x:v>32480</x:v>
      </x:c>
      <x:c r="M432" t="n">
        <x:v>104</x:v>
      </x:c>
      <x:c r="N432" t="str">
        <x:v>Comedy</x:v>
      </x:c>
      <x:c r="O432" t="str">
        <x:v>Penny Marshall</x:v>
      </x:c>
      <x:c r="P432" t="str">
        <x:v>Gracie Films</x:v>
      </x:c>
      <x:c r="Q432" t="str">
        <x:v>United States</x:v>
      </x:c>
      <x:c r="R432" t="str">
        <x:v>English</x:v>
      </x:c>
      <x:c r="S432" t="n">
        <x:v>12</x:v>
      </x:c>
      <x:c r="T432" t="n">
        <x:v>18000000</x:v>
      </x:c>
      <x:c r="U432" t="n">
        <x:v>151700000</x:v>
      </x:c>
      <x:c r="V432" t="n">
        <x:v>2</x:v>
      </x:c>
      <x:c r="W432" t="n">
        <x:v>0</x:v>
      </x:c>
    </x:row>
    <x:row r="433">
      <x:c r="J433" t="n">
        <x:v>441</x:v>
      </x:c>
      <x:c r="K433" t="str">
        <x:v>Crocodile Dundee II</x:v>
      </x:c>
      <x:c r="L433" t="n">
        <x:v>32288</x:v>
      </x:c>
      <x:c r="M433" t="n">
        <x:v>112</x:v>
      </x:c>
      <x:c r="N433" t="str">
        <x:v>Adventure</x:v>
      </x:c>
      <x:c r="O433" t="str">
        <x:v>John Cornell</x:v>
      </x:c>
      <x:c r="P433" t="str">
        <x:v>Paramount Pictures</x:v>
      </x:c>
      <x:c r="Q433" t="str">
        <x:v>Australia</x:v>
      </x:c>
      <x:c r="R433" t="str">
        <x:v>English</x:v>
      </x:c>
      <x:c r="S433" t="str">
        <x:v>PG</x:v>
      </x:c>
      <x:c r="T433" t="n">
        <x:v>14000000</x:v>
      </x:c>
      <x:c r="U433" t="n">
        <x:v>239600000</x:v>
      </x:c>
      <x:c r="V433" t="n">
        <x:v>0</x:v>
      </x:c>
      <x:c r="W433" t="n">
        <x:v>0</x:v>
      </x:c>
    </x:row>
    <x:row r="434">
      <x:c r="J434" t="n">
        <x:v>442</x:v>
      </x:c>
      <x:c r="K434" t="str">
        <x:v>The Naked Gun: From the Files of Police Squad!</x:v>
      </x:c>
      <x:c r="L434" t="n">
        <x:v>32479</x:v>
      </x:c>
      <x:c r="M434" t="n">
        <x:v>85</x:v>
      </x:c>
      <x:c r="N434" t="str">
        <x:v>Comedy</x:v>
      </x:c>
      <x:c r="O434" t="str">
        <x:v>David Zucker</x:v>
      </x:c>
      <x:c r="P434" t="str">
        <x:v>Paramount Pictures</x:v>
      </x:c>
      <x:c r="Q434" t="str">
        <x:v>United States</x:v>
      </x:c>
      <x:c r="R434" t="str">
        <x:v>English</x:v>
      </x:c>
      <x:c r="S434" t="n">
        <x:v>15</x:v>
      </x:c>
      <x:c r="T434" t="n">
        <x:v>12000000</x:v>
      </x:c>
      <x:c r="U434" t="n">
        <x:v>78800000</x:v>
      </x:c>
      <x:c r="V434" t="n">
        <x:v>0</x:v>
      </x:c>
      <x:c r="W434" t="n">
        <x:v>0</x:v>
      </x:c>
    </x:row>
    <x:row r="435">
      <x:c r="J435" t="n">
        <x:v>443</x:v>
      </x:c>
      <x:c r="K435" t="str">
        <x:v>Cocktail</x:v>
      </x:c>
      <x:c r="L435" t="n">
        <x:v>32353</x:v>
      </x:c>
      <x:c r="M435" t="n">
        <x:v>103</x:v>
      </x:c>
      <x:c r="N435" t="str">
        <x:v>Romance</x:v>
      </x:c>
      <x:c r="O435" t="str">
        <x:v>Roger Donaldson</x:v>
      </x:c>
      <x:c r="P435" t="str">
        <x:v>Touchstone Pictures</x:v>
      </x:c>
      <x:c r="Q435" t="str">
        <x:v>United States</x:v>
      </x:c>
      <x:c r="R435" t="str">
        <x:v>English</x:v>
      </x:c>
      <x:c r="S435" t="n">
        <x:v>15</x:v>
      </x:c>
      <x:c r="T435" t="n">
        <x:v>20000000</x:v>
      </x:c>
      <x:c r="U435" t="n">
        <x:v>171500000</x:v>
      </x:c>
      <x:c r="V435" t="n">
        <x:v>0</x:v>
      </x:c>
      <x:c r="W435" t="n">
        <x:v>0</x:v>
      </x:c>
    </x:row>
    <x:row r="436">
      <x:c r="J436" t="n">
        <x:v>444</x:v>
      </x:c>
      <x:c r="K436" t="str">
        <x:v>Beetlejuice</x:v>
      </x:c>
      <x:c r="L436" t="n">
        <x:v>32232</x:v>
      </x:c>
      <x:c r="M436" t="n">
        <x:v>92</x:v>
      </x:c>
      <x:c r="N436" t="str">
        <x:v>Comedy</x:v>
      </x:c>
      <x:c r="O436" t="str">
        <x:v>Tim Burton</x:v>
      </x:c>
      <x:c r="P436" t="str">
        <x:v>Geffen Pictures</x:v>
      </x:c>
      <x:c r="Q436" t="str">
        <x:v>United States</x:v>
      </x:c>
      <x:c r="R436" t="str">
        <x:v>English</x:v>
      </x:c>
      <x:c r="S436" t="n">
        <x:v>15</x:v>
      </x:c>
      <x:c r="T436" t="n">
        <x:v>15000000</x:v>
      </x:c>
      <x:c r="U436" t="n">
        <x:v>73700000</x:v>
      </x:c>
      <x:c r="V436" t="n">
        <x:v>1</x:v>
      </x:c>
      <x:c r="W436" t="n">
        <x:v>1</x:v>
      </x:c>
    </x:row>
    <x:row r="437">
      <x:c r="J437" t="n">
        <x:v>445</x:v>
      </x:c>
      <x:c r="K437" t="str">
        <x:v>Three Men and a Baby</x:v>
      </x:c>
      <x:c r="L437" t="n">
        <x:v>32106</x:v>
      </x:c>
      <x:c r="M437" t="n">
        <x:v>104</x:v>
      </x:c>
      <x:c r="N437" t="str">
        <x:v>Comedy</x:v>
      </x:c>
      <x:c r="O437" t="str">
        <x:v>Leonard Nimoy</x:v>
      </x:c>
      <x:c r="P437" t="str">
        <x:v>Touchstone Pictures</x:v>
      </x:c>
      <x:c r="Q437" t="str">
        <x:v>United States</x:v>
      </x:c>
      <x:c r="R437" t="str">
        <x:v>English</x:v>
      </x:c>
      <x:c r="S437" t="str">
        <x:v>PG</x:v>
      </x:c>
      <x:c r="T437" t="n">
        <x:v>16000000</x:v>
      </x:c>
      <x:c r="U437" t="n">
        <x:v>168800000</x:v>
      </x:c>
      <x:c r="V437" t="n">
        <x:v>0</x:v>
      </x:c>
      <x:c r="W437" t="n">
        <x:v>0</x:v>
      </x:c>
    </x:row>
    <x:row r="438">
      <x:c r="J438" t="n">
        <x:v>446</x:v>
      </x:c>
      <x:c r="K438" t="str">
        <x:v>Fatal Attraction</x:v>
      </x:c>
      <x:c r="L438" t="n">
        <x:v>32038</x:v>
      </x:c>
      <x:c r="M438" t="n">
        <x:v>119</x:v>
      </x:c>
      <x:c r="N438" t="str">
        <x:v>Thriller</x:v>
      </x:c>
      <x:c r="O438" t="str">
        <x:v>Adrian Lyne</x:v>
      </x:c>
      <x:c r="P438" t="str">
        <x:v>Paramount Pictures</x:v>
      </x:c>
      <x:c r="Q438" t="str">
        <x:v>United States</x:v>
      </x:c>
      <x:c r="R438" t="str">
        <x:v>English</x:v>
      </x:c>
      <x:c r="S438" t="n">
        <x:v>18</x:v>
      </x:c>
      <x:c r="T438" t="n">
        <x:v>14000000</x:v>
      </x:c>
      <x:c r="U438" t="n">
        <x:v>320100000</x:v>
      </x:c>
      <x:c r="V438" t="n">
        <x:v>6</x:v>
      </x:c>
      <x:c r="W438" t="n">
        <x:v>0</x:v>
      </x:c>
    </x:row>
    <x:row r="439">
      <x:c r="J439" t="n">
        <x:v>447</x:v>
      </x:c>
      <x:c r="K439" t="str">
        <x:v>Beverly Hills Cop II</x:v>
      </x:c>
      <x:c r="L439" t="n">
        <x:v>31917</x:v>
      </x:c>
      <x:c r="M439" t="n">
        <x:v>103</x:v>
      </x:c>
      <x:c r="N439" t="str">
        <x:v>Action</x:v>
      </x:c>
      <x:c r="O439" t="str">
        <x:v>Tony Scott</x:v>
      </x:c>
      <x:c r="P439" t="str">
        <x:v>Paramount Pictures</x:v>
      </x:c>
      <x:c r="Q439" t="str">
        <x:v>United States</x:v>
      </x:c>
      <x:c r="R439" t="str">
        <x:v>English</x:v>
      </x:c>
      <x:c r="S439" t="n">
        <x:v>15</x:v>
      </x:c>
      <x:c r="T439" t="n">
        <x:v>20000000</x:v>
      </x:c>
      <x:c r="U439" t="n">
        <x:v>300000000</x:v>
      </x:c>
      <x:c r="V439" t="n">
        <x:v>1</x:v>
      </x:c>
      <x:c r="W439" t="n">
        <x:v>0</x:v>
      </x:c>
    </x:row>
    <x:row r="440">
      <x:c r="J440" t="n">
        <x:v>448</x:v>
      </x:c>
      <x:c r="K440" t="str">
        <x:v>Good Morning, Vietnam</x:v>
      </x:c>
      <x:c r="L440" t="n">
        <x:v>32134</x:v>
      </x:c>
      <x:c r="M440" t="n">
        <x:v>120</x:v>
      </x:c>
      <x:c r="N440" t="str">
        <x:v>Comedy</x:v>
      </x:c>
      <x:c r="O440" t="str">
        <x:v>Barry Levinson</x:v>
      </x:c>
      <x:c r="P440" t="str">
        <x:v>Touchstone Pictures</x:v>
      </x:c>
      <x:c r="Q440" t="str">
        <x:v>United States</x:v>
      </x:c>
      <x:c r="R440" t="str">
        <x:v>English</x:v>
      </x:c>
      <x:c r="S440" t="n">
        <x:v>15</x:v>
      </x:c>
      <x:c r="T440" t="n">
        <x:v>13000000</x:v>
      </x:c>
      <x:c r="U440" t="n">
        <x:v>123900000</x:v>
      </x:c>
      <x:c r="V440" t="n">
        <x:v>1</x:v>
      </x:c>
      <x:c r="W440" t="n">
        <x:v>0</x:v>
      </x:c>
    </x:row>
    <x:row r="441">
      <x:c r="J441" t="n">
        <x:v>449</x:v>
      </x:c>
      <x:c r="K441" t="str">
        <x:v>Moonstruck</x:v>
      </x:c>
      <x:c r="L441" t="n">
        <x:v>32129</x:v>
      </x:c>
      <x:c r="M441" t="n">
        <x:v>102</x:v>
      </x:c>
      <x:c r="N441" t="str">
        <x:v>Romance</x:v>
      </x:c>
      <x:c r="O441" t="str">
        <x:v>Norman Jewison</x:v>
      </x:c>
      <x:c r="P441" t="str">
        <x:v>Metro-Goldwyn-Mayer</x:v>
      </x:c>
      <x:c r="Q441" t="str">
        <x:v>United States</x:v>
      </x:c>
      <x:c r="R441" t="str">
        <x:v>English</x:v>
      </x:c>
      <x:c r="S441" t="str">
        <x:v>PG</x:v>
      </x:c>
      <x:c r="T441" t="n">
        <x:v>15000000</x:v>
      </x:c>
      <x:c r="U441" t="n">
        <x:v>91640528</x:v>
      </x:c>
      <x:c r="V441" t="n">
        <x:v>6</x:v>
      </x:c>
      <x:c r="W441" t="n">
        <x:v>3</x:v>
      </x:c>
    </x:row>
    <x:row r="442">
      <x:c r="J442" t="n">
        <x:v>450</x:v>
      </x:c>
      <x:c r="K442" t="str">
        <x:v>The Secret of My Success</x:v>
      </x:c>
      <x:c r="L442" t="n">
        <x:v>31877</x:v>
      </x:c>
      <x:c r="M442" t="n">
        <x:v>111</x:v>
      </x:c>
      <x:c r="N442" t="str">
        <x:v>Comedy</x:v>
      </x:c>
      <x:c r="O442" t="str">
        <x:v>Herbert Ross</x:v>
      </x:c>
      <x:c r="P442" t="str">
        <x:v>Rastar</x:v>
      </x:c>
      <x:c r="Q442" t="str">
        <x:v>United States</x:v>
      </x:c>
      <x:c r="R442" t="str">
        <x:v>English</x:v>
      </x:c>
      <x:c r="S442" t="str">
        <x:v>PG</x:v>
      </x:c>
      <x:c r="T442" t="n">
        <x:v>18000000</x:v>
      </x:c>
      <x:c r="U442" t="n">
        <x:v>110996879</x:v>
      </x:c>
      <x:c r="V442" t="n">
        <x:v>0</x:v>
      </x:c>
      <x:c r="W442" t="n">
        <x:v>0</x:v>
      </x:c>
    </x:row>
    <x:row r="443">
      <x:c r="J443" t="n">
        <x:v>451</x:v>
      </x:c>
      <x:c r="K443" t="str">
        <x:v>Stakeout</x:v>
      </x:c>
      <x:c r="L443" t="n">
        <x:v>31994</x:v>
      </x:c>
      <x:c r="M443" t="n">
        <x:v>117</x:v>
      </x:c>
      <x:c r="N443" t="str">
        <x:v>Comedy</x:v>
      </x:c>
      <x:c r="O443" t="str">
        <x:v>John Badham</x:v>
      </x:c>
      <x:c r="P443" t="str">
        <x:v>Touchstone Pictures</x:v>
      </x:c>
      <x:c r="Q443" t="str">
        <x:v>United States</x:v>
      </x:c>
      <x:c r="R443" t="str">
        <x:v>English</x:v>
      </x:c>
      <x:c r="S443" t="n">
        <x:v>15</x:v>
      </x:c>
      <x:c r="T443" t="n">
        <x:v>14500000</x:v>
      </x:c>
      <x:c r="U443" t="n">
        <x:v>65673233</x:v>
      </x:c>
      <x:c r="V443" t="n">
        <x:v>0</x:v>
      </x:c>
      <x:c r="W443" t="n">
        <x:v>0</x:v>
      </x:c>
    </x:row>
    <x:row r="444">
      <x:c r="J444" t="n">
        <x:v>452</x:v>
      </x:c>
      <x:c r="K444" t="str">
        <x:v>The Witches of Eastwick</x:v>
      </x:c>
      <x:c r="L444" t="n">
        <x:v>31940</x:v>
      </x:c>
      <x:c r="M444" t="n">
        <x:v>118</x:v>
      </x:c>
      <x:c r="N444" t="str">
        <x:v>Comedy</x:v>
      </x:c>
      <x:c r="O444" t="str">
        <x:v>George Miller</x:v>
      </x:c>
      <x:c r="P444" t="str">
        <x:v>Kennedy Miller</x:v>
      </x:c>
      <x:c r="Q444" t="str">
        <x:v>United States</x:v>
      </x:c>
      <x:c r="R444" t="str">
        <x:v>English</x:v>
      </x:c>
      <x:c r="S444" t="n">
        <x:v>18</x:v>
      </x:c>
      <x:c r="T444" t="n">
        <x:v>22000000</x:v>
      </x:c>
      <x:c r="U444" t="n">
        <x:v>63800000</x:v>
      </x:c>
      <x:c r="V444" t="n">
        <x:v>2</x:v>
      </x:c>
      <x:c r="W444" t="n">
        <x:v>0</x:v>
      </x:c>
    </x:row>
    <x:row r="445">
      <x:c r="J445" t="n">
        <x:v>453</x:v>
      </x:c>
      <x:c r="K445" t="str">
        <x:v>Top Gun</x:v>
      </x:c>
      <x:c r="L445" t="n">
        <x:v>31548</x:v>
      </x:c>
      <x:c r="M445" t="n">
        <x:v>110</x:v>
      </x:c>
      <x:c r="N445" t="str">
        <x:v>Action</x:v>
      </x:c>
      <x:c r="O445" t="str">
        <x:v>Tony Scott</x:v>
      </x:c>
      <x:c r="P445" t="str">
        <x:v>Paramount Pictures</x:v>
      </x:c>
      <x:c r="Q445" t="str">
        <x:v>United States</x:v>
      </x:c>
      <x:c r="R445" t="str">
        <x:v>English</x:v>
      </x:c>
      <x:c r="S445" t="n">
        <x:v>15</x:v>
      </x:c>
      <x:c r="T445" t="n">
        <x:v>15000000</x:v>
      </x:c>
      <x:c r="U445" t="n">
        <x:v>356800000</x:v>
      </x:c>
      <x:c r="V445" t="n">
        <x:v>4</x:v>
      </x:c>
      <x:c r="W445" t="n">
        <x:v>1</x:v>
      </x:c>
    </x:row>
    <x:row r="446">
      <x:c r="J446" t="n">
        <x:v>454</x:v>
      </x:c>
      <x:c r="K446" t="str">
        <x:v>Crocodile Dundee</x:v>
      </x:c>
      <x:c r="L446" t="n">
        <x:v>31681</x:v>
      </x:c>
      <x:c r="M446" t="n">
        <x:v>98</x:v>
      </x:c>
      <x:c r="N446" t="str">
        <x:v>Comedy</x:v>
      </x:c>
      <x:c r="O446" t="str">
        <x:v>Peter Faiman</x:v>
      </x:c>
      <x:c r="P446" t="str">
        <x:v>Rimfire Films</x:v>
      </x:c>
      <x:c r="Q446" t="str">
        <x:v>Australia</x:v>
      </x:c>
      <x:c r="R446" t="str">
        <x:v>English</x:v>
      </x:c>
      <x:c r="S446" t="n">
        <x:v>15</x:v>
      </x:c>
      <x:c r="T446" t="n">
        <x:v>8800000</x:v>
      </x:c>
      <x:c r="U446" t="n">
        <x:v>328000000</x:v>
      </x:c>
      <x:c r="V446" t="n">
        <x:v>1</x:v>
      </x:c>
      <x:c r="W446" t="n">
        <x:v>0</x:v>
      </x:c>
    </x:row>
    <x:row r="447">
      <x:c r="J447" t="n">
        <x:v>455</x:v>
      </x:c>
      <x:c r="K447" t="str">
        <x:v>Platoon</x:v>
      </x:c>
      <x:c r="L447" t="n">
        <x:v>31765</x:v>
      </x:c>
      <x:c r="M447" t="n">
        <x:v>120</x:v>
      </x:c>
      <x:c r="N447" t="str">
        <x:v>War</x:v>
      </x:c>
      <x:c r="O447" t="str">
        <x:v>Oliver Stone</x:v>
      </x:c>
      <x:c r="P447" t="str">
        <x:v>Hemdale</x:v>
      </x:c>
      <x:c r="Q447" t="str">
        <x:v>United States</x:v>
      </x:c>
      <x:c r="R447" t="str">
        <x:v>English</x:v>
      </x:c>
      <x:c r="S447" t="n">
        <x:v>15</x:v>
      </x:c>
      <x:c r="T447" t="n">
        <x:v>6000000</x:v>
      </x:c>
      <x:c r="U447" t="n">
        <x:v>138500000</x:v>
      </x:c>
      <x:c r="V447" t="n">
        <x:v>8</x:v>
      </x:c>
      <x:c r="W447" t="n">
        <x:v>4</x:v>
      </x:c>
    </x:row>
    <x:row r="448">
      <x:c r="J448" t="n">
        <x:v>456</x:v>
      </x:c>
      <x:c r="K448" t="str">
        <x:v>The Karate Kid, Part II</x:v>
      </x:c>
      <x:c r="L448" t="n">
        <x:v>31583</x:v>
      </x:c>
      <x:c r="M448" t="n">
        <x:v>113</x:v>
      </x:c>
      <x:c r="N448" t="str">
        <x:v>Drama</x:v>
      </x:c>
      <x:c r="O448" t="str">
        <x:v>John G. Avildsen</x:v>
      </x:c>
      <x:c r="P448" t="str">
        <x:v>Columbia Pictures</x:v>
      </x:c>
      <x:c r="Q448" t="str">
        <x:v>United States</x:v>
      </x:c>
      <x:c r="R448" t="str">
        <x:v>English</x:v>
      </x:c>
      <x:c r="S448" t="str">
        <x:v>PG</x:v>
      </x:c>
      <x:c r="T448" t="n">
        <x:v>13000000</x:v>
      </x:c>
      <x:c r="U448" t="n">
        <x:v>115100000</x:v>
      </x:c>
      <x:c r="V448" t="n">
        <x:v>1</x:v>
      </x:c>
      <x:c r="W448" t="n">
        <x:v>0</x:v>
      </x:c>
    </x:row>
    <x:row r="449">
      <x:c r="J449" t="n">
        <x:v>458</x:v>
      </x:c>
      <x:c r="K449" t="str">
        <x:v>The Golden Child</x:v>
      </x:c>
      <x:c r="L449" t="n">
        <x:v>31758</x:v>
      </x:c>
      <x:c r="M449" t="n">
        <x:v>94</x:v>
      </x:c>
      <x:c r="N449" t="str">
        <x:v>Adventure</x:v>
      </x:c>
      <x:c r="O449" t="str">
        <x:v>Michael Ritchie</x:v>
      </x:c>
      <x:c r="P449" t="str">
        <x:v>Eddie Murphy Productions</x:v>
      </x:c>
      <x:c r="Q449" t="str">
        <x:v>United States</x:v>
      </x:c>
      <x:c r="R449" t="str">
        <x:v>English</x:v>
      </x:c>
      <x:c r="S449" t="str">
        <x:v>PG</x:v>
      </x:c>
      <x:c r="T449" t="n">
        <x:v>25000000</x:v>
      </x:c>
      <x:c r="U449" t="n">
        <x:v>79800000</x:v>
      </x:c>
      <x:c r="V449" t="n">
        <x:v>0</x:v>
      </x:c>
      <x:c r="W449" t="n">
        <x:v>0</x:v>
      </x:c>
    </x:row>
    <x:row r="450">
      <x:c r="J450" t="n">
        <x:v>460</x:v>
      </x:c>
      <x:c r="K450" t="str">
        <x:v>Ferris Bueller's Day Off</x:v>
      </x:c>
      <x:c r="L450" t="n">
        <x:v>31574</x:v>
      </x:c>
      <x:c r="M450" t="n">
        <x:v>103</x:v>
      </x:c>
      <x:c r="N450" t="str">
        <x:v>Comedy</x:v>
      </x:c>
      <x:c r="O450" t="str">
        <x:v>John Hughes</x:v>
      </x:c>
      <x:c r="P450" t="str">
        <x:v>Paramount Pictures</x:v>
      </x:c>
      <x:c r="Q450" t="str">
        <x:v>United States</x:v>
      </x:c>
      <x:c r="R450" t="str">
        <x:v>English</x:v>
      </x:c>
      <x:c r="S450" t="n">
        <x:v>15</x:v>
      </x:c>
      <x:c r="T450" t="n">
        <x:v>5800000</x:v>
      </x:c>
      <x:c r="U450" t="n">
        <x:v>70100000</x:v>
      </x:c>
      <x:c r="V450" t="n">
        <x:v>0</x:v>
      </x:c>
      <x:c r="W450" t="n">
        <x:v>0</x:v>
      </x:c>
    </x:row>
    <x:row r="451">
      <x:c r="J451" t="n">
        <x:v>461</x:v>
      </x:c>
      <x:c r="K451" t="str">
        <x:v>Rambo: First Blood Part II</x:v>
      </x:c>
      <x:c r="L451" t="n">
        <x:v>31189</x:v>
      </x:c>
      <x:c r="M451" t="n">
        <x:v>96</x:v>
      </x:c>
      <x:c r="N451" t="str">
        <x:v>Action</x:v>
      </x:c>
      <x:c r="O451" t="str">
        <x:v>George P. Cosmatos</x:v>
      </x:c>
      <x:c r="P451" t="str">
        <x:v>Carolco Pictures</x:v>
      </x:c>
      <x:c r="Q451" t="str">
        <x:v>United States</x:v>
      </x:c>
      <x:c r="R451" t="str">
        <x:v>English</x:v>
      </x:c>
      <x:c r="S451" t="n">
        <x:v>15</x:v>
      </x:c>
      <x:c r="T451" t="n">
        <x:v>25500000</x:v>
      </x:c>
      <x:c r="U451" t="n">
        <x:v>300400000</x:v>
      </x:c>
      <x:c r="V451" t="n">
        <x:v>1</x:v>
      </x:c>
      <x:c r="W451" t="n">
        <x:v>0</x:v>
      </x:c>
    </x:row>
    <x:row r="452">
      <x:c r="J452" t="n">
        <x:v>462</x:v>
      </x:c>
      <x:c r="K452" t="str">
        <x:v>Rocky IV</x:v>
      </x:c>
      <x:c r="L452" t="n">
        <x:v>31378</x:v>
      </x:c>
      <x:c r="M452" t="n">
        <x:v>91</x:v>
      </x:c>
      <x:c r="N452" t="str">
        <x:v>Sport</x:v>
      </x:c>
      <x:c r="O452" t="str">
        <x:v>Sylvester Stallone</x:v>
      </x:c>
      <x:c r="P452" t="str">
        <x:v>United Artists</x:v>
      </x:c>
      <x:c r="Q452" t="str">
        <x:v>United States</x:v>
      </x:c>
      <x:c r="R452" t="str">
        <x:v>English</x:v>
      </x:c>
      <x:c r="S452" t="str">
        <x:v>PG</x:v>
      </x:c>
      <x:c r="T452" t="n">
        <x:v>28000000</x:v>
      </x:c>
      <x:c r="U452" t="n">
        <x:v>300400000</x:v>
      </x:c>
      <x:c r="V452" t="n">
        <x:v>0</x:v>
      </x:c>
      <x:c r="W452" t="n">
        <x:v>0</x:v>
      </x:c>
    </x:row>
    <x:row r="453">
      <x:c r="J453" t="n">
        <x:v>463</x:v>
      </x:c>
      <x:c r="K453" t="str">
        <x:v>The Color Purple</x:v>
      </x:c>
      <x:c r="L453" t="n">
        <x:v>31399</x:v>
      </x:c>
      <x:c r="M453" t="n">
        <x:v>153</x:v>
      </x:c>
      <x:c r="N453" t="str">
        <x:v>Drama</x:v>
      </x:c>
      <x:c r="O453" t="str">
        <x:v>Steven Spielberg</x:v>
      </x:c>
      <x:c r="P453" t="str">
        <x:v>Amblin Entertainment</x:v>
      </x:c>
      <x:c r="Q453" t="str">
        <x:v>United States</x:v>
      </x:c>
      <x:c r="R453" t="str">
        <x:v>English</x:v>
      </x:c>
      <x:c r="S453" t="n">
        <x:v>15</x:v>
      </x:c>
      <x:c r="T453" t="n">
        <x:v>15000000</x:v>
      </x:c>
      <x:c r="U453" t="n">
        <x:v>142000000</x:v>
      </x:c>
      <x:c r="V453" t="n">
        <x:v>11</x:v>
      </x:c>
      <x:c r="W453" t="n">
        <x:v>0</x:v>
      </x:c>
    </x:row>
    <x:row r="454">
      <x:c r="J454" t="n">
        <x:v>464</x:v>
      </x:c>
      <x:c r="K454" t="str">
        <x:v>Out Of Africa</x:v>
      </x:c>
      <x:c r="L454" t="n">
        <x:v>31399</x:v>
      </x:c>
      <x:c r="M454" t="n">
        <x:v>161</x:v>
      </x:c>
      <x:c r="N454" t="str">
        <x:v>Romance</x:v>
      </x:c>
      <x:c r="O454" t="str">
        <x:v>Sydney Pollack</x:v>
      </x:c>
      <x:c r="P454" t="str">
        <x:v>Mirage Studios</x:v>
      </x:c>
      <x:c r="Q454" t="str">
        <x:v>United States</x:v>
      </x:c>
      <x:c r="R454" t="str">
        <x:v>English</x:v>
      </x:c>
      <x:c r="S454" t="str">
        <x:v>PG</x:v>
      </x:c>
      <x:c r="T454" t="n">
        <x:v>28000000</x:v>
      </x:c>
      <x:c r="U454" t="n">
        <x:v>128500000</x:v>
      </x:c>
      <x:c r="V454" t="n">
        <x:v>11</x:v>
      </x:c>
      <x:c r="W454" t="n">
        <x:v>7</x:v>
      </x:c>
    </x:row>
    <x:row r="455">
      <x:c r="J455" t="n">
        <x:v>465</x:v>
      </x:c>
      <x:c r="K455" t="str">
        <x:v>Cocoon</x:v>
      </x:c>
      <x:c r="L455" t="n">
        <x:v>31219</x:v>
      </x:c>
      <x:c r="M455" t="n">
        <x:v>117</x:v>
      </x:c>
      <x:c r="N455" t="str">
        <x:v>Science Fiction</x:v>
      </x:c>
      <x:c r="O455" t="str">
        <x:v>Ron Howard</x:v>
      </x:c>
      <x:c r="P455" t="str">
        <x:v>20th Century Fox</x:v>
      </x:c>
      <x:c r="Q455" t="str">
        <x:v>United States</x:v>
      </x:c>
      <x:c r="R455" t="str">
        <x:v>English</x:v>
      </x:c>
      <x:c r="S455" t="str">
        <x:v>PG</x:v>
      </x:c>
      <x:c r="T455" t="n">
        <x:v>17500000</x:v>
      </x:c>
      <x:c r="U455" t="n">
        <x:v>85300000</x:v>
      </x:c>
      <x:c r="V455" t="n">
        <x:v>2</x:v>
      </x:c>
      <x:c r="W455" t="n">
        <x:v>2</x:v>
      </x:c>
    </x:row>
    <x:row r="456">
      <x:c r="J456" t="n">
        <x:v>466</x:v>
      </x:c>
      <x:c r="K456" t="str">
        <x:v>The Jewel of the Nile</x:v>
      </x:c>
      <x:c r="L456" t="n">
        <x:v>31392</x:v>
      </x:c>
      <x:c r="M456" t="n">
        <x:v>107</x:v>
      </x:c>
      <x:c r="N456" t="str">
        <x:v>Adventure</x:v>
      </x:c>
      <x:c r="O456" t="str">
        <x:v>Lewis Teague</x:v>
      </x:c>
      <x:c r="P456" t="str">
        <x:v>20th Century Fox</x:v>
      </x:c>
      <x:c r="Q456" t="str">
        <x:v>United States</x:v>
      </x:c>
      <x:c r="R456" t="str">
        <x:v>English</x:v>
      </x:c>
      <x:c r="S456" t="str">
        <x:v>PG</x:v>
      </x:c>
      <x:c r="T456" t="n">
        <x:v>25000000</x:v>
      </x:c>
      <x:c r="U456" t="n">
        <x:v>96700000</x:v>
      </x:c>
      <x:c r="V456" t="n">
        <x:v>0</x:v>
      </x:c>
      <x:c r="W456" t="n">
        <x:v>0</x:v>
      </x:c>
    </x:row>
    <x:row r="457">
      <x:c r="J457" t="n">
        <x:v>468</x:v>
      </x:c>
      <x:c r="K457" t="str">
        <x:v>The Goonies</x:v>
      </x:c>
      <x:c r="L457" t="n">
        <x:v>31205</x:v>
      </x:c>
      <x:c r="M457" t="n">
        <x:v>114</x:v>
      </x:c>
      <x:c r="N457" t="str">
        <x:v>Adventure</x:v>
      </x:c>
      <x:c r="O457" t="str">
        <x:v>Richard Donner</x:v>
      </x:c>
      <x:c r="P457" t="str">
        <x:v>Amblin Entertainment</x:v>
      </x:c>
      <x:c r="Q457" t="str">
        <x:v>United States</x:v>
      </x:c>
      <x:c r="R457" t="str">
        <x:v>English</x:v>
      </x:c>
      <x:c r="S457" t="str">
        <x:v>PG</x:v>
      </x:c>
      <x:c r="T457" t="n">
        <x:v>19000000</x:v>
      </x:c>
      <x:c r="U457" t="n">
        <x:v>61500000</x:v>
      </x:c>
      <x:c r="V457" t="n">
        <x:v>0</x:v>
      </x:c>
      <x:c r="W457" t="n">
        <x:v>0</x:v>
      </x:c>
    </x:row>
    <x:row r="458">
      <x:c r="J458" t="n">
        <x:v>469</x:v>
      </x:c>
      <x:c r="K458" t="str">
        <x:v>Spies Like Us</x:v>
      </x:c>
      <x:c r="L458" t="n">
        <x:v>31387</x:v>
      </x:c>
      <x:c r="M458" t="n">
        <x:v>102</x:v>
      </x:c>
      <x:c r="N458" t="str">
        <x:v>Comedy</x:v>
      </x:c>
      <x:c r="O458" t="str">
        <x:v>John Landis</x:v>
      </x:c>
      <x:c r="P458" t="str">
        <x:v>Warner Bros. Pictures</x:v>
      </x:c>
      <x:c r="Q458" t="str">
        <x:v>United States</x:v>
      </x:c>
      <x:c r="R458" t="str">
        <x:v>English</x:v>
      </x:c>
      <x:c r="S458" t="str">
        <x:v>PG</x:v>
      </x:c>
      <x:c r="T458" t="n">
        <x:v>22000000</x:v>
      </x:c>
      <x:c r="U458" t="n">
        <x:v>60000000</x:v>
      </x:c>
      <x:c r="V458" t="n">
        <x:v>0</x:v>
      </x:c>
      <x:c r="W458" t="n">
        <x:v>0</x:v>
      </x:c>
    </x:row>
    <x:row r="459">
      <x:c r="J459" t="n">
        <x:v>470</x:v>
      </x:c>
      <x:c r="K459" t="str">
        <x:v>Beverly Hills Cop</x:v>
      </x:c>
      <x:c r="L459" t="n">
        <x:v>31021</x:v>
      </x:c>
      <x:c r="M459" t="n">
        <x:v>105</x:v>
      </x:c>
      <x:c r="N459" t="str">
        <x:v>Action</x:v>
      </x:c>
      <x:c r="O459" t="str">
        <x:v>Martin Brest</x:v>
      </x:c>
      <x:c r="P459" t="str">
        <x:v>Eddie Murphy Productions</x:v>
      </x:c>
      <x:c r="Q459" t="str">
        <x:v>United States</x:v>
      </x:c>
      <x:c r="R459" t="str">
        <x:v>English</x:v>
      </x:c>
      <x:c r="S459" t="n">
        <x:v>15</x:v>
      </x:c>
      <x:c r="T459" t="n">
        <x:v>15000000</x:v>
      </x:c>
      <x:c r="U459" t="n">
        <x:v>316400000</x:v>
      </x:c>
      <x:c r="V459" t="n">
        <x:v>1</x:v>
      </x:c>
      <x:c r="W459" t="n">
        <x:v>0</x:v>
      </x:c>
    </x:row>
    <x:row r="460">
      <x:c r="J460" t="n">
        <x:v>472</x:v>
      </x:c>
      <x:c r="K460" t="str">
        <x:v>Gremlins</x:v>
      </x:c>
      <x:c r="L460" t="n">
        <x:v>30841</x:v>
      </x:c>
      <x:c r="M460" t="n">
        <x:v>106</x:v>
      </x:c>
      <x:c r="N460" t="str">
        <x:v>Comedy</x:v>
      </x:c>
      <x:c r="O460" t="str">
        <x:v>Joe Dante</x:v>
      </x:c>
      <x:c r="P460" t="str">
        <x:v>Amblin Entertainment</x:v>
      </x:c>
      <x:c r="Q460" t="str">
        <x:v>United States</x:v>
      </x:c>
      <x:c r="R460" t="str">
        <x:v>English</x:v>
      </x:c>
      <x:c r="S460" t="n">
        <x:v>15</x:v>
      </x:c>
      <x:c r="T460" t="n">
        <x:v>11000000</x:v>
      </x:c>
      <x:c r="U460" t="n">
        <x:v>153100000</x:v>
      </x:c>
      <x:c r="V460" t="n">
        <x:v>0</x:v>
      </x:c>
      <x:c r="W460" t="n">
        <x:v>0</x:v>
      </x:c>
    </x:row>
    <x:row r="461">
      <x:c r="J461" t="n">
        <x:v>473</x:v>
      </x:c>
      <x:c r="K461" t="str">
        <x:v>The Karate Kid</x:v>
      </x:c>
      <x:c r="L461" t="n">
        <x:v>30855</x:v>
      </x:c>
      <x:c r="M461" t="n">
        <x:v>127</x:v>
      </x:c>
      <x:c r="N461" t="str">
        <x:v>Drama</x:v>
      </x:c>
      <x:c r="O461" t="str">
        <x:v>John G. Avildsen</x:v>
      </x:c>
      <x:c r="P461" t="str">
        <x:v>Columbia Pictures</x:v>
      </x:c>
      <x:c r="Q461" t="str">
        <x:v>United States</x:v>
      </x:c>
      <x:c r="R461" t="str">
        <x:v>English</x:v>
      </x:c>
      <x:c r="S461" t="str">
        <x:v>PG</x:v>
      </x:c>
      <x:c r="T461" t="n">
        <x:v>8000000</x:v>
      </x:c>
      <x:c r="U461" t="n">
        <x:v>90800000</x:v>
      </x:c>
      <x:c r="V461" t="n">
        <x:v>1</x:v>
      </x:c>
      <x:c r="W461" t="n">
        <x:v>0</x:v>
      </x:c>
    </x:row>
    <x:row r="462">
      <x:c r="J462" t="n">
        <x:v>474</x:v>
      </x:c>
      <x:c r="K462" t="str">
        <x:v>Police Academy</x:v>
      </x:c>
      <x:c r="L462" t="n">
        <x:v>30764</x:v>
      </x:c>
      <x:c r="M462" t="n">
        <x:v>96</x:v>
      </x:c>
      <x:c r="N462" t="str">
        <x:v>Comedy</x:v>
      </x:c>
      <x:c r="O462" t="str">
        <x:v>Hugh Wilson</x:v>
      </x:c>
      <x:c r="P462" t="str">
        <x:v>The Ladd Company</x:v>
      </x:c>
      <x:c r="Q462" t="str">
        <x:v>United States</x:v>
      </x:c>
      <x:c r="R462" t="str">
        <x:v>English</x:v>
      </x:c>
      <x:c r="S462" t="n">
        <x:v>15</x:v>
      </x:c>
      <x:c r="T462" t="n">
        <x:v>4500000</x:v>
      </x:c>
      <x:c r="U462" t="n">
        <x:v>146000000</x:v>
      </x:c>
      <x:c r="V462" t="n">
        <x:v>0</x:v>
      </x:c>
      <x:c r="W462" t="n">
        <x:v>0</x:v>
      </x:c>
    </x:row>
    <x:row r="463">
      <x:c r="J463" t="n">
        <x:v>475</x:v>
      </x:c>
      <x:c r="K463" t="str">
        <x:v>Footloose</x:v>
      </x:c>
      <x:c r="L463" t="n">
        <x:v>30729</x:v>
      </x:c>
      <x:c r="M463" t="n">
        <x:v>110</x:v>
      </x:c>
      <x:c r="N463" t="str">
        <x:v>Drama</x:v>
      </x:c>
      <x:c r="O463" t="str">
        <x:v>Herbert Ross</x:v>
      </x:c>
      <x:c r="P463" t="str">
        <x:v>Paramount Pictures</x:v>
      </x:c>
      <x:c r="Q463" t="str">
        <x:v>United States</x:v>
      </x:c>
      <x:c r="R463" t="str">
        <x:v>English</x:v>
      </x:c>
      <x:c r="S463" t="n">
        <x:v>15</x:v>
      </x:c>
      <x:c r="T463" t="n">
        <x:v>8200000</x:v>
      </x:c>
      <x:c r="U463" t="n">
        <x:v>80000000</x:v>
      </x:c>
      <x:c r="V463" t="n">
        <x:v>2</x:v>
      </x:c>
      <x:c r="W463" t="n">
        <x:v>0</x:v>
      </x:c>
    </x:row>
    <x:row r="464">
      <x:c r="J464" t="n">
        <x:v>476</x:v>
      </x:c>
      <x:c r="K464" t="str">
        <x:v>Romancing the Stone</x:v>
      </x:c>
      <x:c r="L464" t="n">
        <x:v>30771</x:v>
      </x:c>
      <x:c r="M464" t="n">
        <x:v>106</x:v>
      </x:c>
      <x:c r="N464" t="str">
        <x:v>Adventure</x:v>
      </x:c>
      <x:c r="O464" t="str">
        <x:v>Robert Zemeckis</x:v>
      </x:c>
      <x:c r="P464" t="str">
        <x:v>20th Century Fox</x:v>
      </x:c>
      <x:c r="Q464" t="str">
        <x:v>United States</x:v>
      </x:c>
      <x:c r="R464" t="str">
        <x:v>English</x:v>
      </x:c>
      <x:c r="S464" t="n">
        <x:v>12</x:v>
      </x:c>
      <x:c r="T464" t="n">
        <x:v>10000000</x:v>
      </x:c>
      <x:c r="U464" t="n">
        <x:v>86500000</x:v>
      </x:c>
      <x:c r="V464" t="n">
        <x:v>1</x:v>
      </x:c>
      <x:c r="W464" t="n">
        <x:v>0</x:v>
      </x:c>
    </x:row>
    <x:row r="465">
      <x:c r="J465" t="n">
        <x:v>477</x:v>
      </x:c>
      <x:c r="K465" t="str">
        <x:v>Terms of Endearment</x:v>
      </x:c>
      <x:c r="L465" t="n">
        <x:v>30659</x:v>
      </x:c>
      <x:c r="M465" t="n">
        <x:v>132</x:v>
      </x:c>
      <x:c r="N465" t="str">
        <x:v>Drama</x:v>
      </x:c>
      <x:c r="O465" t="str">
        <x:v>James L. Brooks</x:v>
      </x:c>
      <x:c r="P465" t="str">
        <x:v>Paramount Pictures</x:v>
      </x:c>
      <x:c r="Q465" t="str">
        <x:v>United States</x:v>
      </x:c>
      <x:c r="R465" t="str">
        <x:v>English</x:v>
      </x:c>
      <x:c r="S465" t="n">
        <x:v>15</x:v>
      </x:c>
      <x:c r="T465" t="n">
        <x:v>8000000</x:v>
      </x:c>
      <x:c r="U465" t="n">
        <x:v>108400000</x:v>
      </x:c>
      <x:c r="V465" t="n">
        <x:v>11</x:v>
      </x:c>
      <x:c r="W465" t="n">
        <x:v>5</x:v>
      </x:c>
    </x:row>
    <x:row r="466">
      <x:c r="J466" t="n">
        <x:v>478</x:v>
      </x:c>
      <x:c r="K466" t="str">
        <x:v>Flashdance</x:v>
      </x:c>
      <x:c r="L466" t="n">
        <x:v>30421</x:v>
      </x:c>
      <x:c r="M466" t="n">
        <x:v>98</x:v>
      </x:c>
      <x:c r="N466" t="str">
        <x:v>Drama</x:v>
      </x:c>
      <x:c r="O466" t="str">
        <x:v>Adrian Lyne</x:v>
      </x:c>
      <x:c r="P466" t="str">
        <x:v>Polygram Filmed Entertainment</x:v>
      </x:c>
      <x:c r="Q466" t="str">
        <x:v>United States</x:v>
      </x:c>
      <x:c r="R466" t="str">
        <x:v>English</x:v>
      </x:c>
      <x:c r="S466" t="n">
        <x:v>15</x:v>
      </x:c>
      <x:c r="T466" t="n">
        <x:v>7000000</x:v>
      </x:c>
      <x:c r="U466" t="n">
        <x:v>201500000</x:v>
      </x:c>
      <x:c r="V466" t="n">
        <x:v>4</x:v>
      </x:c>
      <x:c r="W466" t="n">
        <x:v>1</x:v>
      </x:c>
    </x:row>
    <x:row r="467">
      <x:c r="J467" t="n">
        <x:v>479</x:v>
      </x:c>
      <x:c r="K467" t="str">
        <x:v>Trading Places</x:v>
      </x:c>
      <x:c r="L467" t="n">
        <x:v>30477</x:v>
      </x:c>
      <x:c r="M467" t="n">
        <x:v>116</x:v>
      </x:c>
      <x:c r="N467" t="str">
        <x:v>Comedy</x:v>
      </x:c>
      <x:c r="O467" t="str">
        <x:v>John Landis</x:v>
      </x:c>
      <x:c r="P467" t="str">
        <x:v>Eddie Murphy Productions</x:v>
      </x:c>
      <x:c r="Q467" t="str">
        <x:v>United States</x:v>
      </x:c>
      <x:c r="R467" t="str">
        <x:v>English</x:v>
      </x:c>
      <x:c r="S467" t="n">
        <x:v>15</x:v>
      </x:c>
      <x:c r="T467" t="n">
        <x:v>15000000</x:v>
      </x:c>
      <x:c r="U467" t="n">
        <x:v>90400000</x:v>
      </x:c>
      <x:c r="V467" t="n">
        <x:v>1</x:v>
      </x:c>
      <x:c r="W467" t="n">
        <x:v>0</x:v>
      </x:c>
    </x:row>
    <x:row r="468">
      <x:c r="J468" t="n">
        <x:v>480</x:v>
      </x:c>
      <x:c r="K468" t="str">
        <x:v>WarGames</x:v>
      </x:c>
      <x:c r="L468" t="n">
        <x:v>30470</x:v>
      </x:c>
      <x:c r="M468" t="n">
        <x:v>114</x:v>
      </x:c>
      <x:c r="N468" t="str">
        <x:v>Thriller</x:v>
      </x:c>
      <x:c r="O468" t="str">
        <x:v>John Badham</x:v>
      </x:c>
      <x:c r="P468" t="str">
        <x:v>United Artists</x:v>
      </x:c>
      <x:c r="Q468" t="str">
        <x:v>United States</x:v>
      </x:c>
      <x:c r="R468" t="str">
        <x:v>English</x:v>
      </x:c>
      <x:c r="S468" t="str">
        <x:v>PG</x:v>
      </x:c>
      <x:c r="T468" t="n">
        <x:v>12000000</x:v>
      </x:c>
      <x:c r="U468" t="n">
        <x:v>79600000</x:v>
      </x:c>
      <x:c r="V468" t="n">
        <x:v>3</x:v>
      </x:c>
      <x:c r="W468" t="n">
        <x:v>0</x:v>
      </x:c>
    </x:row>
    <x:row r="469">
      <x:c r="J469" t="n">
        <x:v>481</x:v>
      </x:c>
      <x:c r="K469" t="str">
        <x:v>Sudden Impact</x:v>
      </x:c>
      <x:c r="L469" t="n">
        <x:v>30659</x:v>
      </x:c>
      <x:c r="M469" t="n">
        <x:v>117</x:v>
      </x:c>
      <x:c r="N469" t="str">
        <x:v>Thriller</x:v>
      </x:c>
      <x:c r="O469" t="str">
        <x:v>Clint Eastwood</x:v>
      </x:c>
      <x:c r="P469" t="str">
        <x:v>Warner Bros. Pictures</x:v>
      </x:c>
      <x:c r="Q469" t="str">
        <x:v>United States</x:v>
      </x:c>
      <x:c r="R469" t="str">
        <x:v>English</x:v>
      </x:c>
      <x:c r="S469" t="n">
        <x:v>18</x:v>
      </x:c>
      <x:c r="T469" t="n">
        <x:v>22000000</x:v>
      </x:c>
      <x:c r="U469" t="n">
        <x:v>67642693</x:v>
      </x:c>
      <x:c r="V469" t="n">
        <x:v>0</x:v>
      </x:c>
      <x:c r="W469" t="n">
        <x:v>0</x:v>
      </x:c>
    </x:row>
    <x:row r="470">
      <x:c r="J470" t="n">
        <x:v>482</x:v>
      </x:c>
      <x:c r="K470" t="str">
        <x:v>Staying Alive</x:v>
      </x:c>
      <x:c r="L470" t="n">
        <x:v>30512</x:v>
      </x:c>
      <x:c r="M470" t="n">
        <x:v>93</x:v>
      </x:c>
      <x:c r="N470" t="str">
        <x:v>Drama</x:v>
      </x:c>
      <x:c r="O470" t="str">
        <x:v>Sylvester Stallone</x:v>
      </x:c>
      <x:c r="P470" t="str">
        <x:v>Paramount Pictures</x:v>
      </x:c>
      <x:c r="Q470" t="str">
        <x:v>United States</x:v>
      </x:c>
      <x:c r="R470" t="str">
        <x:v>English</x:v>
      </x:c>
      <x:c r="S470" t="str">
        <x:v>PG</x:v>
      </x:c>
      <x:c r="T470" t="n">
        <x:v>22000000</x:v>
      </x:c>
      <x:c r="U470" t="n">
        <x:v>64800000</x:v>
      </x:c>
      <x:c r="V470" t="n">
        <x:v>0</x:v>
      </x:c>
      <x:c r="W470" t="n">
        <x:v>0</x:v>
      </x:c>
    </x:row>
    <x:row r="471">
      <x:c r="J471" t="n">
        <x:v>485</x:v>
      </x:c>
      <x:c r="K471" t="str">
        <x:v>Tootsie</x:v>
      </x:c>
      <x:c r="L471" t="n">
        <x:v>30302</x:v>
      </x:c>
      <x:c r="M471" t="n">
        <x:v>116</x:v>
      </x:c>
      <x:c r="N471" t="str">
        <x:v>Comedy</x:v>
      </x:c>
      <x:c r="O471" t="str">
        <x:v>Sydney Pollack</x:v>
      </x:c>
      <x:c r="P471" t="str">
        <x:v>Mirage Studios</x:v>
      </x:c>
      <x:c r="Q471" t="str">
        <x:v>United States</x:v>
      </x:c>
      <x:c r="R471" t="str">
        <x:v>English</x:v>
      </x:c>
      <x:c r="S471" t="n">
        <x:v>15</x:v>
      </x:c>
      <x:c r="T471" t="n">
        <x:v>21000000</x:v>
      </x:c>
      <x:c r="U471" t="n">
        <x:v>177200000</x:v>
      </x:c>
      <x:c r="V471" t="n">
        <x:v>10</x:v>
      </x:c>
      <x:c r="W471" t="n">
        <x:v>1</x:v>
      </x:c>
    </x:row>
    <x:row r="472">
      <x:c r="J472" t="n">
        <x:v>486</x:v>
      </x:c>
      <x:c r="K472" t="str">
        <x:v>An Officer and a Gentleman</x:v>
      </x:c>
      <x:c r="L472" t="n">
        <x:v>30176</x:v>
      </x:c>
      <x:c r="M472" t="n">
        <x:v>122</x:v>
      </x:c>
      <x:c r="N472" t="str">
        <x:v>Drama</x:v>
      </x:c>
      <x:c r="O472" t="str">
        <x:v>Taylor Hackford</x:v>
      </x:c>
      <x:c r="P472" t="str">
        <x:v>Lorimar Productions</x:v>
      </x:c>
      <x:c r="Q472" t="str">
        <x:v>United States</x:v>
      </x:c>
      <x:c r="R472" t="str">
        <x:v>English</x:v>
      </x:c>
      <x:c r="S472" t="n">
        <x:v>15</x:v>
      </x:c>
      <x:c r="T472" t="n">
        <x:v>6000000</x:v>
      </x:c>
      <x:c r="U472" t="n">
        <x:v>129800000</x:v>
      </x:c>
      <x:c r="V472" t="n">
        <x:v>6</x:v>
      </x:c>
      <x:c r="W472" t="n">
        <x:v>2</x:v>
      </x:c>
    </x:row>
    <x:row r="473">
      <x:c r="J473" t="n">
        <x:v>487</x:v>
      </x:c>
      <x:c r="K473" t="str">
        <x:v>Rocky III</x:v>
      </x:c>
      <x:c r="L473" t="n">
        <x:v>30099</x:v>
      </x:c>
      <x:c r="M473" t="n">
        <x:v>100</x:v>
      </x:c>
      <x:c r="N473" t="str">
        <x:v>Sport</x:v>
      </x:c>
      <x:c r="O473" t="str">
        <x:v>Sylvester Stallone</x:v>
      </x:c>
      <x:c r="P473" t="str">
        <x:v>United Artists</x:v>
      </x:c>
      <x:c r="Q473" t="str">
        <x:v>United States</x:v>
      </x:c>
      <x:c r="R473" t="str">
        <x:v>English</x:v>
      </x:c>
      <x:c r="S473" t="str">
        <x:v>PG</x:v>
      </x:c>
      <x:c r="T473" t="n">
        <x:v>17000000</x:v>
      </x:c>
      <x:c r="U473" t="n">
        <x:v>270000000</x:v>
      </x:c>
      <x:c r="V473" t="n">
        <x:v>1</x:v>
      </x:c>
      <x:c r="W473" t="n">
        <x:v>0</x:v>
      </x:c>
    </x:row>
    <x:row r="474">
      <x:c r="J474" t="n">
        <x:v>488</x:v>
      </x:c>
      <x:c r="K474" t="str">
        <x:v>Porky's</x:v>
      </x:c>
      <x:c r="L474" t="n">
        <x:v>30057</x:v>
      </x:c>
      <x:c r="M474" t="n">
        <x:v>98</x:v>
      </x:c>
      <x:c r="N474" t="str">
        <x:v>Comedy</x:v>
      </x:c>
      <x:c r="O474" t="str">
        <x:v>Bob Clark</x:v>
      </x:c>
      <x:c r="P474" t="str">
        <x:v>Astral Media</x:v>
      </x:c>
      <x:c r="Q474" t="str">
        <x:v>Canada</x:v>
      </x:c>
      <x:c r="R474" t="str">
        <x:v>English</x:v>
      </x:c>
      <x:c r="S474" t="n">
        <x:v>18</x:v>
      </x:c>
      <x:c r="T474" t="n">
        <x:v>25000000</x:v>
      </x:c>
      <x:c r="U474" t="n">
        <x:v>105000000</x:v>
      </x:c>
      <x:c r="V474" t="n">
        <x:v>0</x:v>
      </x:c>
      <x:c r="W474" t="n">
        <x:v>0</x:v>
      </x:c>
    </x:row>
    <x:row r="475">
      <x:c r="J475" t="n">
        <x:v>489</x:v>
      </x:c>
      <x:c r="K475" t="str">
        <x:v>48 Hrs.</x:v>
      </x:c>
      <x:c r="L475" t="n">
        <x:v>30293</x:v>
      </x:c>
      <x:c r="M475" t="n">
        <x:v>96</x:v>
      </x:c>
      <x:c r="N475" t="str">
        <x:v>Action</x:v>
      </x:c>
      <x:c r="O475" t="str">
        <x:v>Walter Hill</x:v>
      </x:c>
      <x:c r="P475" t="str">
        <x:v>Paramount Pictures</x:v>
      </x:c>
      <x:c r="Q475" t="str">
        <x:v>United States</x:v>
      </x:c>
      <x:c r="R475" t="str">
        <x:v>English</x:v>
      </x:c>
      <x:c r="S475" t="n">
        <x:v>18</x:v>
      </x:c>
      <x:c r="T475" t="n">
        <x:v>12000000</x:v>
      </x:c>
      <x:c r="U475" t="n">
        <x:v>78900000</x:v>
      </x:c>
      <x:c r="V475" t="n">
        <x:v>0</x:v>
      </x:c>
      <x:c r="W475" t="n">
        <x:v>0</x:v>
      </x:c>
    </x:row>
    <x:row r="476">
      <x:c r="J476" t="n">
        <x:v>490</x:v>
      </x:c>
      <x:c r="K476" t="str">
        <x:v>Poltergeist</x:v>
      </x:c>
      <x:c r="L476" t="n">
        <x:v>30106</x:v>
      </x:c>
      <x:c r="M476" t="n">
        <x:v>114</x:v>
      </x:c>
      <x:c r="N476" t="str">
        <x:v>Horror</x:v>
      </x:c>
      <x:c r="O476" t="str">
        <x:v>Tobe Hooper</x:v>
      </x:c>
      <x:c r="P476" t="str">
        <x:v>Metro-Goldwyn-Mayer</x:v>
      </x:c>
      <x:c r="Q476" t="str">
        <x:v>United States</x:v>
      </x:c>
      <x:c r="R476" t="str">
        <x:v>English</x:v>
      </x:c>
      <x:c r="S476" t="n">
        <x:v>15</x:v>
      </x:c>
      <x:c r="T476" t="n">
        <x:v>10700000</x:v>
      </x:c>
      <x:c r="U476" t="n">
        <x:v>121700000</x:v>
      </x:c>
      <x:c r="V476" t="n">
        <x:v>3</x:v>
      </x:c>
      <x:c r="W476" t="n">
        <x:v>0</x:v>
      </x:c>
    </x:row>
    <x:row r="477">
      <x:c r="J477" t="n">
        <x:v>492</x:v>
      </x:c>
      <x:c r="K477" t="str">
        <x:v>Annie</x:v>
      </x:c>
      <x:c r="L477" t="n">
        <x:v>30120</x:v>
      </x:c>
      <x:c r="M477" t="n">
        <x:v>128</x:v>
      </x:c>
      <x:c r="N477" t="str">
        <x:v>Musical</x:v>
      </x:c>
      <x:c r="O477" t="str">
        <x:v>John Huston</x:v>
      </x:c>
      <x:c r="P477" t="str">
        <x:v>Rastar</x:v>
      </x:c>
      <x:c r="Q477" t="str">
        <x:v>United States</x:v>
      </x:c>
      <x:c r="R477" t="str">
        <x:v>English</x:v>
      </x:c>
      <x:c r="S477" t="str">
        <x:v>U</x:v>
      </x:c>
      <x:c r="T477" t="n">
        <x:v>50000000</x:v>
      </x:c>
      <x:c r="U477" t="n">
        <x:v>57000000</x:v>
      </x:c>
      <x:c r="V477" t="n">
        <x:v>2</x:v>
      </x:c>
      <x:c r="W477" t="n">
        <x:v>0</x:v>
      </x:c>
    </x:row>
    <x:row r="478">
      <x:c r="J478" t="n">
        <x:v>494</x:v>
      </x:c>
      <x:c r="K478" t="str">
        <x:v>Superman II</x:v>
      </x:c>
      <x:c r="L478" t="n">
        <x:v>29685</x:v>
      </x:c>
      <x:c r="M478" t="n">
        <x:v>127</x:v>
      </x:c>
      <x:c r="N478" t="str">
        <x:v>Action</x:v>
      </x:c>
      <x:c r="O478" t="str">
        <x:v>Richard Lester</x:v>
      </x:c>
      <x:c r="P478" t="str">
        <x:v>Dovemead</x:v>
      </x:c>
      <x:c r="Q478" t="str">
        <x:v>United Kingdom</x:v>
      </x:c>
      <x:c r="R478" t="str">
        <x:v>English</x:v>
      </x:c>
      <x:c r="S478" t="str">
        <x:v>PG</x:v>
      </x:c>
      <x:c r="T478" t="n">
        <x:v>54000000</x:v>
      </x:c>
      <x:c r="U478" t="n">
        <x:v>190400000</x:v>
      </x:c>
      <x:c r="V478" t="n">
        <x:v>0</x:v>
      </x:c>
      <x:c r="W478" t="n">
        <x:v>0</x:v>
      </x:c>
    </x:row>
    <x:row r="479">
      <x:c r="J479" t="n">
        <x:v>495</x:v>
      </x:c>
      <x:c r="K479" t="str">
        <x:v>Arthur</x:v>
      </x:c>
      <x:c r="L479" t="n">
        <x:v>29784</x:v>
      </x:c>
      <x:c r="M479" t="n">
        <x:v>97</x:v>
      </x:c>
      <x:c r="N479" t="str">
        <x:v>Comedy</x:v>
      </x:c>
      <x:c r="O479" t="str">
        <x:v>Steve Gordon</x:v>
      </x:c>
      <x:c r="P479" t="str">
        <x:v>Orion Pictures</x:v>
      </x:c>
      <x:c r="Q479" t="str">
        <x:v>United States</x:v>
      </x:c>
      <x:c r="R479" t="str">
        <x:v>English</x:v>
      </x:c>
      <x:c r="S479" t="n">
        <x:v>15</x:v>
      </x:c>
      <x:c r="T479" t="n">
        <x:v>7000000</x:v>
      </x:c>
      <x:c r="U479" t="n">
        <x:v>95461682</x:v>
      </x:c>
      <x:c r="V479" t="n">
        <x:v>4</x:v>
      </x:c>
      <x:c r="W479" t="n">
        <x:v>2</x:v>
      </x:c>
    </x:row>
    <x:row r="480">
      <x:c r="J480" t="n">
        <x:v>497</x:v>
      </x:c>
      <x:c r="K480" t="str">
        <x:v>The Cannonball Run</x:v>
      </x:c>
      <x:c r="L480" t="n">
        <x:v>29756</x:v>
      </x:c>
      <x:c r="M480" t="n">
        <x:v>95</x:v>
      </x:c>
      <x:c r="N480" t="str">
        <x:v>Comedy</x:v>
      </x:c>
      <x:c r="O480" t="str">
        <x:v>Hal Needham</x:v>
      </x:c>
      <x:c r="P480" t="str">
        <x:v>Golden Harvest</x:v>
      </x:c>
      <x:c r="Q480" t="str">
        <x:v>United States</x:v>
      </x:c>
      <x:c r="R480" t="str">
        <x:v>English</x:v>
      </x:c>
      <x:c r="S480" t="str">
        <x:v>PG</x:v>
      </x:c>
      <x:c r="T480" t="n">
        <x:v>18000000</x:v>
      </x:c>
      <x:c r="U480" t="n">
        <x:v>72179579</x:v>
      </x:c>
      <x:c r="V480" t="n">
        <x:v>0</x:v>
      </x:c>
      <x:c r="W480" t="n">
        <x:v>0</x:v>
      </x:c>
    </x:row>
    <x:row r="481">
      <x:c r="J481" t="n">
        <x:v>498</x:v>
      </x:c>
      <x:c r="K481" t="str">
        <x:v>Chariots of Fire</x:v>
      </x:c>
      <x:c r="L481" t="n">
        <x:v>29675</x:v>
      </x:c>
      <x:c r="M481" t="n">
        <x:v>124</x:v>
      </x:c>
      <x:c r="N481" t="str">
        <x:v>Sport</x:v>
      </x:c>
      <x:c r="O481" t="str">
        <x:v>Hugh Hudson</x:v>
      </x:c>
      <x:c r="P481" t="str">
        <x:v>Goldcrest Films</x:v>
      </x:c>
      <x:c r="Q481" t="str">
        <x:v>United Kingdom</x:v>
      </x:c>
      <x:c r="R481" t="str">
        <x:v>English</x:v>
      </x:c>
      <x:c r="S481" t="str">
        <x:v>U</x:v>
      </x:c>
      <x:c r="T481" t="n">
        <x:v>5500000</x:v>
      </x:c>
      <x:c r="U481" t="n">
        <x:v>59000000</x:v>
      </x:c>
      <x:c r="V481" t="n">
        <x:v>7</x:v>
      </x:c>
      <x:c r="W481" t="n">
        <x:v>4</x:v>
      </x:c>
    </x:row>
    <x:row r="482">
      <x:c r="J482" t="n">
        <x:v>500</x:v>
      </x:c>
      <x:c r="K482" t="str">
        <x:v>Time Bandits</x:v>
      </x:c>
      <x:c r="L482" t="n">
        <x:v>29777</x:v>
      </x:c>
      <x:c r="M482" t="n">
        <x:v>113</x:v>
      </x:c>
      <x:c r="N482" t="str">
        <x:v>Fantasy</x:v>
      </x:c>
      <x:c r="O482" t="str">
        <x:v>Terry Gilliam</x:v>
      </x:c>
      <x:c r="P482" t="str">
        <x:v>Handmade Films</x:v>
      </x:c>
      <x:c r="Q482" t="str">
        <x:v>United Kingdom</x:v>
      </x:c>
      <x:c r="R482" t="str">
        <x:v>English</x:v>
      </x:c>
      <x:c r="S482" t="str">
        <x:v>PG</x:v>
      </x:c>
      <x:c r="T482" t="n">
        <x:v>5000000</x:v>
      </x:c>
      <x:c r="U482" t="n">
        <x:v>42365581</x:v>
      </x:c>
      <x:c r="V482" t="n">
        <x:v>0</x:v>
      </x:c>
      <x:c r="W482" t="n">
        <x:v>0</x:v>
      </x:c>
    </x:row>
    <x:row r="483">
      <x:c r="J483" t="n">
        <x:v>501</x:v>
      </x:c>
      <x:c r="K483" t="str">
        <x:v>9 to 5</x:v>
      </x:c>
      <x:c r="L483" t="n">
        <x:v>29574</x:v>
      </x:c>
      <x:c r="M483" t="n">
        <x:v>110</x:v>
      </x:c>
      <x:c r="N483" t="str">
        <x:v>Comedy</x:v>
      </x:c>
      <x:c r="O483" t="str">
        <x:v>Colin Higgins</x:v>
      </x:c>
      <x:c r="P483" t="str">
        <x:v>20th Century Fox</x:v>
      </x:c>
      <x:c r="Q483" t="str">
        <x:v>United States</x:v>
      </x:c>
      <x:c r="R483" t="str">
        <x:v>English</x:v>
      </x:c>
      <x:c r="S483" t="str">
        <x:v>U</x:v>
      </x:c>
      <x:c r="T483" t="n">
        <x:v>10000000</x:v>
      </x:c>
      <x:c r="U483" t="n">
        <x:v>103290500</x:v>
      </x:c>
      <x:c r="V483" t="n">
        <x:v>1</x:v>
      </x:c>
      <x:c r="W483" t="n">
        <x:v>0</x:v>
      </x:c>
    </x:row>
    <x:row r="484">
      <x:c r="J484" t="n">
        <x:v>502</x:v>
      </x:c>
      <x:c r="K484" t="str">
        <x:v>Stir Crazy</x:v>
      </x:c>
      <x:c r="L484" t="n">
        <x:v>29567</x:v>
      </x:c>
      <x:c r="M484" t="n">
        <x:v>111</x:v>
      </x:c>
      <x:c r="N484" t="str">
        <x:v>Comedy</x:v>
      </x:c>
      <x:c r="O484" t="str">
        <x:v>Sidney Poitier</x:v>
      </x:c>
      <x:c r="P484" t="str">
        <x:v>Columbia Pictures</x:v>
      </x:c>
      <x:c r="Q484" t="str">
        <x:v>United States</x:v>
      </x:c>
      <x:c r="R484" t="str">
        <x:v>English</x:v>
      </x:c>
      <x:c r="S484" t="n">
        <x:v>15</x:v>
      </x:c>
      <x:c r="T484" t="n">
        <x:v>10000000</x:v>
      </x:c>
      <x:c r="U484" t="n">
        <x:v>101300000</x:v>
      </x:c>
      <x:c r="V484" t="n">
        <x:v>0</x:v>
      </x:c>
      <x:c r="W484" t="n">
        <x:v>0</x:v>
      </x:c>
    </x:row>
    <x:row r="485">
      <x:c r="J485" t="n">
        <x:v>503</x:v>
      </x:c>
      <x:c r="K485" t="str">
        <x:v>Airplane!</x:v>
      </x:c>
      <x:c r="L485" t="n">
        <x:v>29404</x:v>
      </x:c>
      <x:c r="M485" t="n">
        <x:v>87</x:v>
      </x:c>
      <x:c r="N485" t="str">
        <x:v>Comedy</x:v>
      </x:c>
      <x:c r="O485" t="str">
        <x:v>Jim Abrahams</x:v>
      </x:c>
      <x:c r="P485" t="str">
        <x:v>Paramount Pictures</x:v>
      </x:c>
      <x:c r="Q485" t="str">
        <x:v>United States</x:v>
      </x:c>
      <x:c r="R485" t="str">
        <x:v>English</x:v>
      </x:c>
      <x:c r="S485" t="n">
        <x:v>15</x:v>
      </x:c>
      <x:c r="T485" t="n">
        <x:v>3500000</x:v>
      </x:c>
      <x:c r="U485" t="n">
        <x:v>130000000</x:v>
      </x:c>
      <x:c r="V485" t="n">
        <x:v>0</x:v>
      </x:c>
      <x:c r="W485" t="n">
        <x:v>0</x:v>
      </x:c>
    </x:row>
    <x:row r="486">
      <x:c r="J486" t="n">
        <x:v>504</x:v>
      </x:c>
      <x:c r="K486" t="str">
        <x:v>Any Which Way You Can</x:v>
      </x:c>
      <x:c r="L486" t="n">
        <x:v>29572</x:v>
      </x:c>
      <x:c r="M486" t="n">
        <x:v>116</x:v>
      </x:c>
      <x:c r="N486" t="str">
        <x:v>Action</x:v>
      </x:c>
      <x:c r="O486" t="str">
        <x:v>Buddy Van Horn</x:v>
      </x:c>
      <x:c r="P486" t="str">
        <x:v>The Malpaso Company</x:v>
      </x:c>
      <x:c r="Q486" t="str">
        <x:v>United States</x:v>
      </x:c>
      <x:c r="R486" t="str">
        <x:v>English</x:v>
      </x:c>
      <x:c r="S486" t="str">
        <x:v>PG</x:v>
      </x:c>
      <x:c r="T486" t="n">
        <x:v>15000000</x:v>
      </x:c>
      <x:c r="U486" t="n">
        <x:v>70700000</x:v>
      </x:c>
      <x:c r="V486" t="n">
        <x:v>0</x:v>
      </x:c>
      <x:c r="W486" t="n">
        <x:v>0</x:v>
      </x:c>
    </x:row>
    <x:row r="487">
      <x:c r="J487" t="n">
        <x:v>505</x:v>
      </x:c>
      <x:c r="K487" t="str">
        <x:v>Private Benjamin</x:v>
      </x:c>
      <x:c r="L487" t="n">
        <x:v>29504</x:v>
      </x:c>
      <x:c r="M487" t="n">
        <x:v>109</x:v>
      </x:c>
      <x:c r="N487" t="str">
        <x:v>Comedy</x:v>
      </x:c>
      <x:c r="O487" t="str">
        <x:v>Howard Zieff</x:v>
      </x:c>
      <x:c r="P487" t="str">
        <x:v>Warner Bros. Pictures</x:v>
      </x:c>
      <x:c r="Q487" t="str">
        <x:v>United States</x:v>
      </x:c>
      <x:c r="R487" t="str">
        <x:v>English</x:v>
      </x:c>
      <x:c r="S487" t="n">
        <x:v>15</x:v>
      </x:c>
      <x:c r="T487" t="n">
        <x:v>15000000</x:v>
      </x:c>
      <x:c r="U487" t="n">
        <x:v>69847348</x:v>
      </x:c>
      <x:c r="V487" t="n">
        <x:v>3</x:v>
      </x:c>
      <x:c r="W487" t="n">
        <x:v>0</x:v>
      </x:c>
    </x:row>
    <x:row r="488">
      <x:c r="J488" t="n">
        <x:v>507</x:v>
      </x:c>
      <x:c r="K488" t="str">
        <x:v>Smokey and the Bandit II</x:v>
      </x:c>
      <x:c r="L488" t="n">
        <x:v>29448</x:v>
      </x:c>
      <x:c r="M488" t="n">
        <x:v>100</x:v>
      </x:c>
      <x:c r="N488" t="str">
        <x:v>Comedy</x:v>
      </x:c>
      <x:c r="O488" t="str">
        <x:v>Hal Needham</x:v>
      </x:c>
      <x:c r="P488" t="str">
        <x:v>Rastar</x:v>
      </x:c>
      <x:c r="Q488" t="str">
        <x:v>United States</x:v>
      </x:c>
      <x:c r="R488" t="str">
        <x:v>English</x:v>
      </x:c>
      <x:c r="S488" t="str">
        <x:v>PG</x:v>
      </x:c>
      <x:c r="T488" t="n">
        <x:v>17000000</x:v>
      </x:c>
      <x:c r="U488" t="n">
        <x:v>66100000</x:v>
      </x:c>
      <x:c r="V488" t="n">
        <x:v>0</x:v>
      </x:c>
      <x:c r="W488" t="n">
        <x:v>0</x:v>
      </x:c>
    </x:row>
    <x:row r="489">
      <x:c r="J489" t="n">
        <x:v>509</x:v>
      </x:c>
      <x:c r="K489" t="str">
        <x:v>The Blues Brothers</x:v>
      </x:c>
      <x:c r="L489" t="n">
        <x:v>29392</x:v>
      </x:c>
      <x:c r="M489" t="n">
        <x:v>132</x:v>
      </x:c>
      <x:c r="N489" t="str">
        <x:v>Comedy</x:v>
      </x:c>
      <x:c r="O489" t="str">
        <x:v>John Landis</x:v>
      </x:c>
      <x:c r="P489" t="str">
        <x:v>Universal Pictures</x:v>
      </x:c>
      <x:c r="Q489" t="str">
        <x:v>United States</x:v>
      </x:c>
      <x:c r="R489" t="str">
        <x:v>English</x:v>
      </x:c>
      <x:c r="S489" t="n">
        <x:v>15</x:v>
      </x:c>
      <x:c r="T489" t="n">
        <x:v>30000000</x:v>
      </x:c>
      <x:c r="U489" t="n">
        <x:v>115200000</x:v>
      </x:c>
      <x:c r="V489" t="n">
        <x:v>0</x:v>
      </x:c>
      <x:c r="W489" t="n">
        <x:v>0</x:v>
      </x:c>
    </x:row>
    <x:row r="490">
      <x:c r="J490" t="n">
        <x:v>510</x:v>
      </x:c>
      <x:c r="K490" t="str">
        <x:v>Kramer vs. Kramer</x:v>
      </x:c>
      <x:c r="L490" t="n">
        <x:v>29208</x:v>
      </x:c>
      <x:c r="M490" t="n">
        <x:v>105</x:v>
      </x:c>
      <x:c r="N490" t="str">
        <x:v>Drama</x:v>
      </x:c>
      <x:c r="O490" t="str">
        <x:v>Robert Benton</x:v>
      </x:c>
      <x:c r="P490" t="str">
        <x:v>Columbia Pictures</x:v>
      </x:c>
      <x:c r="Q490" t="str">
        <x:v>United States</x:v>
      </x:c>
      <x:c r="R490" t="str">
        <x:v>English</x:v>
      </x:c>
      <x:c r="S490" t="str">
        <x:v>PG</x:v>
      </x:c>
      <x:c r="T490" t="n">
        <x:v>8000000</x:v>
      </x:c>
      <x:c r="U490" t="n">
        <x:v>106260000</x:v>
      </x:c>
      <x:c r="V490" t="n">
        <x:v>9</x:v>
      </x:c>
      <x:c r="W490" t="n">
        <x:v>5</x:v>
      </x:c>
    </x:row>
    <x:row r="491">
      <x:c r="J491" t="n">
        <x:v>511</x:v>
      </x:c>
      <x:c r="K491" t="str">
        <x:v>The Amityville Horror</x:v>
      </x:c>
      <x:c r="L491" t="n">
        <x:v>29063</x:v>
      </x:c>
      <x:c r="M491" t="n">
        <x:v>118</x:v>
      </x:c>
      <x:c r="N491" t="str">
        <x:v>Horror</x:v>
      </x:c>
      <x:c r="O491" t="str">
        <x:v>Stuart Rosenberg</x:v>
      </x:c>
      <x:c r="P491" t="str">
        <x:v>Dino De Laurentiis Corporation</x:v>
      </x:c>
      <x:c r="Q491" t="str">
        <x:v>United States</x:v>
      </x:c>
      <x:c r="R491" t="str">
        <x:v>English</x:v>
      </x:c>
      <x:c r="S491" t="n">
        <x:v>15</x:v>
      </x:c>
      <x:c r="T491" t="n">
        <x:v>4700000</x:v>
      </x:c>
      <x:c r="U491" t="n">
        <x:v>86400000</x:v>
      </x:c>
      <x:c r="V491" t="n">
        <x:v>1</x:v>
      </x:c>
      <x:c r="W491" t="n">
        <x:v>0</x:v>
      </x:c>
    </x:row>
    <x:row r="492">
      <x:c r="J492" t="n">
        <x:v>512</x:v>
      </x:c>
      <x:c r="K492" t="str">
        <x:v>Rocky II</x:v>
      </x:c>
      <x:c r="L492" t="n">
        <x:v>29021</x:v>
      </x:c>
      <x:c r="M492" t="n">
        <x:v>119</x:v>
      </x:c>
      <x:c r="N492" t="str">
        <x:v>Drama</x:v>
      </x:c>
      <x:c r="O492" t="str">
        <x:v>Sylvester Stallone</x:v>
      </x:c>
      <x:c r="P492" t="str">
        <x:v>United Artists</x:v>
      </x:c>
      <x:c r="Q492" t="str">
        <x:v>United States</x:v>
      </x:c>
      <x:c r="R492" t="str">
        <x:v>English</x:v>
      </x:c>
      <x:c r="S492" t="str">
        <x:v>PG</x:v>
      </x:c>
      <x:c r="T492" t="n">
        <x:v>7000000</x:v>
      </x:c>
      <x:c r="U492" t="n">
        <x:v>200100000</x:v>
      </x:c>
      <x:c r="V492" t="n">
        <x:v>0</x:v>
      </x:c>
      <x:c r="W492" t="n">
        <x:v>0</x:v>
      </x:c>
    </x:row>
    <x:row r="493">
      <x:c r="J493" t="n">
        <x:v>513</x:v>
      </x:c>
      <x:c r="K493" t="str">
        <x:v>Apocalypse Now</x:v>
      </x:c>
      <x:c r="L493" t="n">
        <x:v>29082</x:v>
      </x:c>
      <x:c r="M493" t="n">
        <x:v>153</x:v>
      </x:c>
      <x:c r="N493" t="str">
        <x:v>War</x:v>
      </x:c>
      <x:c r="O493" t="str">
        <x:v>Francis Ford Coppola</x:v>
      </x:c>
      <x:c r="P493" t="str">
        <x:v>Zoetrope Studios</x:v>
      </x:c>
      <x:c r="Q493" t="str">
        <x:v>United States</x:v>
      </x:c>
      <x:c r="R493" t="str">
        <x:v>English</x:v>
      </x:c>
      <x:c r="S493" t="n">
        <x:v>18</x:v>
      </x:c>
      <x:c r="T493" t="n">
        <x:v>31500000</x:v>
      </x:c>
      <x:c r="U493" t="n">
        <x:v>150000000</x:v>
      </x:c>
      <x:c r="V493" t="n">
        <x:v>8</x:v>
      </x:c>
      <x:c r="W493" t="n">
        <x:v>2</x:v>
      </x:c>
    </x:row>
    <x:row r="494">
      <x:c r="J494" t="n">
        <x:v>514</x:v>
      </x:c>
      <x:c r="K494" t="n">
        <x:v>10</x:v>
      </x:c>
      <x:c r="L494" t="n">
        <x:v>29133</x:v>
      </x:c>
      <x:c r="M494" t="n">
        <x:v>122</x:v>
      </x:c>
      <x:c r="N494" t="str">
        <x:v>Romantic Comedy</x:v>
      </x:c>
      <x:c r="O494" t="str">
        <x:v>Blake Edwards</x:v>
      </x:c>
      <x:c r="P494" t="str">
        <x:v>Orion Pictures</x:v>
      </x:c>
      <x:c r="Q494" t="str">
        <x:v>United States</x:v>
      </x:c>
      <x:c r="R494" t="str">
        <x:v>English</x:v>
      </x:c>
      <x:c r="S494" t="n">
        <x:v>18</x:v>
      </x:c>
      <x:c r="T494" t="n">
        <x:v>7000000</x:v>
      </x:c>
      <x:c r="U494" t="n">
        <x:v>74800000</x:v>
      </x:c>
      <x:c r="V494" t="n">
        <x:v>2</x:v>
      </x:c>
      <x:c r="W494" t="n">
        <x:v>0</x:v>
      </x:c>
    </x:row>
    <x:row r="495">
      <x:c r="J495" t="n">
        <x:v>515</x:v>
      </x:c>
      <x:c r="K495" t="str">
        <x:v>The Jerk</x:v>
      </x:c>
      <x:c r="L495" t="n">
        <x:v>29203</x:v>
      </x:c>
      <x:c r="M495" t="n">
        <x:v>94</x:v>
      </x:c>
      <x:c r="N495" t="str">
        <x:v>Comedy</x:v>
      </x:c>
      <x:c r="O495" t="str">
        <x:v>Carl Reiner</x:v>
      </x:c>
      <x:c r="P495" t="str">
        <x:v>Universal Pictures</x:v>
      </x:c>
      <x:c r="Q495" t="str">
        <x:v>United States</x:v>
      </x:c>
      <x:c r="R495" t="str">
        <x:v>English</x:v>
      </x:c>
      <x:c r="S495" t="n">
        <x:v>15</x:v>
      </x:c>
      <x:c r="T495" t="n">
        <x:v>4000000</x:v>
      </x:c>
      <x:c r="U495" t="n">
        <x:v>73700000</x:v>
      </x:c>
      <x:c r="V495" t="n">
        <x:v>0</x:v>
      </x:c>
      <x:c r="W495" t="n">
        <x:v>0</x:v>
      </x:c>
    </x:row>
    <x:row r="496">
      <x:c r="J496" t="n">
        <x:v>516</x:v>
      </x:c>
      <x:c r="K496" t="str">
        <x:v>The Muppet Movie</x:v>
      </x:c>
      <x:c r="L496" t="n">
        <x:v>29006</x:v>
      </x:c>
      <x:c r="M496" t="n">
        <x:v>97</x:v>
      </x:c>
      <x:c r="N496" t="str">
        <x:v>Family</x:v>
      </x:c>
      <x:c r="O496" t="str">
        <x:v>James Frawley</x:v>
      </x:c>
      <x:c r="P496" t="str">
        <x:v>Henson Associates</x:v>
      </x:c>
      <x:c r="Q496" t="str">
        <x:v>United States</x:v>
      </x:c>
      <x:c r="R496" t="str">
        <x:v>English</x:v>
      </x:c>
      <x:c r="S496" t="str">
        <x:v>U</x:v>
      </x:c>
      <x:c r="T496" t="n">
        <x:v>8000000</x:v>
      </x:c>
      <x:c r="U496" t="n">
        <x:v>76600000</x:v>
      </x:c>
      <x:c r="V496" t="n">
        <x:v>2</x:v>
      </x:c>
      <x:c r="W496" t="n">
        <x:v>0</x:v>
      </x:c>
    </x:row>
    <x:row r="497">
      <x:c r="J497" t="n">
        <x:v>517</x:v>
      </x:c>
      <x:c r="K497" t="str">
        <x:v>Grease</x:v>
      </x:c>
      <x:c r="L497" t="n">
        <x:v>28657</x:v>
      </x:c>
      <x:c r="M497" t="n">
        <x:v>110</x:v>
      </x:c>
      <x:c r="N497" t="str">
        <x:v>Musical</x:v>
      </x:c>
      <x:c r="O497" t="str">
        <x:v>Randal Kleiser</x:v>
      </x:c>
      <x:c r="P497" t="str">
        <x:v>Paramount Pictures</x:v>
      </x:c>
      <x:c r="Q497" t="str">
        <x:v>United States</x:v>
      </x:c>
      <x:c r="R497" t="str">
        <x:v>English</x:v>
      </x:c>
      <x:c r="S497" t="str">
        <x:v>PG</x:v>
      </x:c>
      <x:c r="T497" t="n">
        <x:v>6000000</x:v>
      </x:c>
      <x:c r="U497" t="n">
        <x:v>395000000</x:v>
      </x:c>
      <x:c r="V497" t="n">
        <x:v>1</x:v>
      </x:c>
      <x:c r="W497" t="n">
        <x:v>0</x:v>
      </x:c>
    </x:row>
    <x:row r="498">
      <x:c r="J498" t="n">
        <x:v>518</x:v>
      </x:c>
      <x:c r="K498" t="str">
        <x:v>National Lampoon's Animal House</x:v>
      </x:c>
      <x:c r="L498" t="n">
        <x:v>28699</x:v>
      </x:c>
      <x:c r="M498" t="n">
        <x:v>109</x:v>
      </x:c>
      <x:c r="N498" t="str">
        <x:v>Comedy</x:v>
      </x:c>
      <x:c r="O498" t="str">
        <x:v>John Landis</x:v>
      </x:c>
      <x:c r="P498" t="str">
        <x:v>Universal Pictures</x:v>
      </x:c>
      <x:c r="Q498" t="str">
        <x:v>United States</x:v>
      </x:c>
      <x:c r="R498" t="str">
        <x:v>English</x:v>
      </x:c>
      <x:c r="S498" t="n">
        <x:v>15</x:v>
      </x:c>
      <x:c r="T498" t="n">
        <x:v>3000000</x:v>
      </x:c>
      <x:c r="U498" t="n">
        <x:v>141600000</x:v>
      </x:c>
      <x:c r="V498" t="n">
        <x:v>0</x:v>
      </x:c>
      <x:c r="W498" t="n">
        <x:v>0</x:v>
      </x:c>
    </x:row>
    <x:row r="499">
      <x:c r="J499" t="n">
        <x:v>519</x:v>
      </x:c>
      <x:c r="K499" t="str">
        <x:v>Every Which Way but Loose</x:v>
      </x:c>
      <x:c r="L499" t="n">
        <x:v>28844</x:v>
      </x:c>
      <x:c r="M499" t="n">
        <x:v>114</x:v>
      </x:c>
      <x:c r="N499" t="str">
        <x:v>Action</x:v>
      </x:c>
      <x:c r="O499" t="str">
        <x:v>James Fargo</x:v>
      </x:c>
      <x:c r="P499" t="str">
        <x:v>The Malpaso Company</x:v>
      </x:c>
      <x:c r="Q499" t="str">
        <x:v>United States</x:v>
      </x:c>
      <x:c r="R499" t="str">
        <x:v>English</x:v>
      </x:c>
      <x:c r="S499" t="n">
        <x:v>15</x:v>
      </x:c>
      <x:c r="T499" t="n">
        <x:v>5000000</x:v>
      </x:c>
      <x:c r="U499" t="n">
        <x:v>85000000</x:v>
      </x:c>
      <x:c r="V499" t="n">
        <x:v>0</x:v>
      </x:c>
      <x:c r="W499" t="n">
        <x:v>0</x:v>
      </x:c>
    </x:row>
    <x:row r="500">
      <x:c r="J500" t="n">
        <x:v>522</x:v>
      </x:c>
      <x:c r="K500" t="str">
        <x:v>Jaws 2</x:v>
      </x:c>
      <x:c r="L500" t="n">
        <x:v>28657</x:v>
      </x:c>
      <x:c r="M500" t="n">
        <x:v>116</x:v>
      </x:c>
      <x:c r="N500" t="str">
        <x:v>Thriller</x:v>
      </x:c>
      <x:c r="O500" t="str">
        <x:v>Jeannot Szwarc</x:v>
      </x:c>
      <x:c r="P500" t="str">
        <x:v>Universal Pictures</x:v>
      </x:c>
      <x:c r="Q500" t="str">
        <x:v>United States</x:v>
      </x:c>
      <x:c r="R500" t="str">
        <x:v>English</x:v>
      </x:c>
      <x:c r="S500" t="str">
        <x:v>PG</x:v>
      </x:c>
      <x:c r="T500" t="n">
        <x:v>20000000</x:v>
      </x:c>
      <x:c r="U500" t="n">
        <x:v>208900000</x:v>
      </x:c>
      <x:c r="V500" t="n">
        <x:v>0</x:v>
      </x:c>
      <x:c r="W500" t="n">
        <x:v>0</x:v>
      </x:c>
    </x:row>
    <x:row r="501">
      <x:c r="J501" t="n">
        <x:v>523</x:v>
      </x:c>
      <x:c r="K501" t="str">
        <x:v>Dawn of the Dead</x:v>
      </x:c>
      <x:c r="L501" t="n">
        <x:v>28734</x:v>
      </x:c>
      <x:c r="M501" t="n">
        <x:v>127</x:v>
      </x:c>
      <x:c r="N501" t="str">
        <x:v>Horror</x:v>
      </x:c>
      <x:c r="O501" t="str">
        <x:v>George A. Romero</x:v>
      </x:c>
      <x:c r="P501" t="str">
        <x:v>Laurel Group</x:v>
      </x:c>
      <x:c r="Q501" t="str">
        <x:v>United States</x:v>
      </x:c>
      <x:c r="R501" t="str">
        <x:v>English</x:v>
      </x:c>
      <x:c r="S501" t="n">
        <x:v>18</x:v>
      </x:c>
      <x:c r="T501" t="n">
        <x:v>1500000</x:v>
      </x:c>
      <x:c r="U501" t="n">
        <x:v>55000000</x:v>
      </x:c>
      <x:c r="V501" t="n">
        <x:v>0</x:v>
      </x:c>
      <x:c r="W501" t="n">
        <x:v>0</x:v>
      </x:c>
    </x:row>
    <x:row r="502">
      <x:c r="J502" t="n">
        <x:v>524</x:v>
      </x:c>
      <x:c r="K502" t="str">
        <x:v>Revenge of the Pink Panther</x:v>
      </x:c>
      <x:c r="L502" t="n">
        <x:v>28690</x:v>
      </x:c>
      <x:c r="M502" t="n">
        <x:v>98</x:v>
      </x:c>
      <x:c r="N502" t="str">
        <x:v>Comedy</x:v>
      </x:c>
      <x:c r="O502" t="str">
        <x:v>Blake Edwards</x:v>
      </x:c>
      <x:c r="P502" t="str">
        <x:v>Sellers-Edwards Productions</x:v>
      </x:c>
      <x:c r="Q502" t="str">
        <x:v>United Kingdom</x:v>
      </x:c>
      <x:c r="R502" t="str">
        <x:v>English</x:v>
      </x:c>
      <x:c r="S502" t="str">
        <x:v>PG</x:v>
      </x:c>
      <x:c r="T502" t="n">
        <x:v>12000000</x:v>
      </x:c>
      <x:c r="U502" t="n">
        <x:v>49500000</x:v>
      </x:c>
      <x:c r="V502" t="n">
        <x:v>0</x:v>
      </x:c>
      <x:c r="W502" t="n">
        <x:v>0</x:v>
      </x:c>
    </x:row>
    <x:row r="503">
      <x:c r="J503" t="n">
        <x:v>525</x:v>
      </x:c>
      <x:c r="K503" t="str">
        <x:v>The Deer Hunter</x:v>
      </x:c>
      <x:c r="L503" t="n">
        <x:v>28832</x:v>
      </x:c>
      <x:c r="M503" t="n">
        <x:v>183</x:v>
      </x:c>
      <x:c r="N503" t="str">
        <x:v>Drama</x:v>
      </x:c>
      <x:c r="O503" t="str">
        <x:v>Michael Cimino</x:v>
      </x:c>
      <x:c r="P503" t="str">
        <x:v>EMI Films</x:v>
      </x:c>
      <x:c r="Q503" t="str">
        <x:v>United States</x:v>
      </x:c>
      <x:c r="R503" t="str">
        <x:v>English</x:v>
      </x:c>
      <x:c r="S503" t="n">
        <x:v>18</x:v>
      </x:c>
      <x:c r="T503" t="n">
        <x:v>15000000</x:v>
      </x:c>
      <x:c r="U503" t="n">
        <x:v>49000000</x:v>
      </x:c>
      <x:c r="V503" t="n">
        <x:v>9</x:v>
      </x:c>
      <x:c r="W503" t="n">
        <x:v>5</x:v>
      </x:c>
    </x:row>
    <x:row r="504">
      <x:c r="J504" t="n">
        <x:v>526</x:v>
      </x:c>
      <x:c r="K504" t="str">
        <x:v>Smokey and the Bandit</x:v>
      </x:c>
      <x:c r="L504" t="n">
        <x:v>28272</x:v>
      </x:c>
      <x:c r="M504" t="n">
        <x:v>96</x:v>
      </x:c>
      <x:c r="N504" t="str">
        <x:v>Comedy</x:v>
      </x:c>
      <x:c r="O504" t="str">
        <x:v>Hal Needham</x:v>
      </x:c>
      <x:c r="P504" t="str">
        <x:v>Rastar</x:v>
      </x:c>
      <x:c r="Q504" t="str">
        <x:v>United States</x:v>
      </x:c>
      <x:c r="R504" t="str">
        <x:v>English</x:v>
      </x:c>
      <x:c r="S504" t="str">
        <x:v>PG</x:v>
      </x:c>
      <x:c r="T504" t="n">
        <x:v>4300000</x:v>
      </x:c>
      <x:c r="U504" t="n">
        <x:v>300000000</x:v>
      </x:c>
      <x:c r="V504" t="n">
        <x:v>1</x:v>
      </x:c>
      <x:c r="W504" t="n">
        <x:v>0</x:v>
      </x:c>
    </x:row>
    <x:row r="505">
      <x:c r="J505" t="n">
        <x:v>527</x:v>
      </x:c>
      <x:c r="K505" t="str">
        <x:v>Close Encounters of the Third Kind</x:v>
      </x:c>
      <x:c r="L505" t="n">
        <x:v>28445</x:v>
      </x:c>
      <x:c r="M505" t="n">
        <x:v>135</x:v>
      </x:c>
      <x:c r="N505" t="str">
        <x:v>Science Fiction</x:v>
      </x:c>
      <x:c r="O505" t="str">
        <x:v>Steven Spielberg</x:v>
      </x:c>
      <x:c r="P505" t="str">
        <x:v>EMI Films</x:v>
      </x:c>
      <x:c r="Q505" t="str">
        <x:v>United States</x:v>
      </x:c>
      <x:c r="R505" t="str">
        <x:v>English</x:v>
      </x:c>
      <x:c r="S505" t="str">
        <x:v>PG</x:v>
      </x:c>
      <x:c r="T505" t="n">
        <x:v>20000000</x:v>
      </x:c>
      <x:c r="U505" t="n">
        <x:v>303800000</x:v>
      </x:c>
      <x:c r="V505" t="n">
        <x:v>8</x:v>
      </x:c>
      <x:c r="W505" t="n">
        <x:v>1</x:v>
      </x:c>
    </x:row>
    <x:row r="506">
      <x:c r="J506" t="n">
        <x:v>529</x:v>
      </x:c>
      <x:c r="K506" t="str">
        <x:v>Saturday Night Fever</x:v>
      </x:c>
      <x:c r="L506" t="n">
        <x:v>28473</x:v>
      </x:c>
      <x:c r="M506" t="n">
        <x:v>118</x:v>
      </x:c>
      <x:c r="N506" t="str">
        <x:v>Drama</x:v>
      </x:c>
      <x:c r="O506" t="str">
        <x:v>John Badham</x:v>
      </x:c>
      <x:c r="P506" t="str">
        <x:v>Paramount Pictures</x:v>
      </x:c>
      <x:c r="Q506" t="str">
        <x:v>United States</x:v>
      </x:c>
      <x:c r="R506" t="str">
        <x:v>English</x:v>
      </x:c>
      <x:c r="S506" t="n">
        <x:v>18</x:v>
      </x:c>
      <x:c r="T506" t="n">
        <x:v>3500000</x:v>
      </x:c>
      <x:c r="U506" t="n">
        <x:v>237100000</x:v>
      </x:c>
      <x:c r="V506" t="n">
        <x:v>1</x:v>
      </x:c>
      <x:c r="W506" t="n">
        <x:v>0</x:v>
      </x:c>
    </x:row>
    <x:row r="507">
      <x:c r="J507" t="n">
        <x:v>531</x:v>
      </x:c>
      <x:c r="K507" t="str">
        <x:v>A Bridge Too Far</x:v>
      </x:c>
      <x:c r="L507" t="n">
        <x:v>28291</x:v>
      </x:c>
      <x:c r="M507" t="n">
        <x:v>176</x:v>
      </x:c>
      <x:c r="N507" t="str">
        <x:v>War</x:v>
      </x:c>
      <x:c r="O507" t="str">
        <x:v>Richard Attenborough</x:v>
      </x:c>
      <x:c r="P507" t="str">
        <x:v>Joseph E. Levine Productions</x:v>
      </x:c>
      <x:c r="Q507" t="str">
        <x:v>United Kingdom</x:v>
      </x:c>
      <x:c r="R507" t="str">
        <x:v>English</x:v>
      </x:c>
      <x:c r="S507" t="n">
        <x:v>15</x:v>
      </x:c>
      <x:c r="T507" t="n">
        <x:v>25000000</x:v>
      </x:c>
      <x:c r="U507" t="n">
        <x:v>50750000</x:v>
      </x:c>
      <x:c r="V507" t="n">
        <x:v>0</x:v>
      </x:c>
      <x:c r="W507" t="n">
        <x:v>0</x:v>
      </x:c>
    </x:row>
    <x:row r="508">
      <x:c r="J508" t="n">
        <x:v>532</x:v>
      </x:c>
      <x:c r="K508" t="str">
        <x:v>The Deep</x:v>
      </x:c>
      <x:c r="L508" t="n">
        <x:v>28293</x:v>
      </x:c>
      <x:c r="M508" t="n">
        <x:v>124</x:v>
      </x:c>
      <x:c r="N508" t="str">
        <x:v>Adventure</x:v>
      </x:c>
      <x:c r="O508" t="str">
        <x:v>Peter Yates</x:v>
      </x:c>
      <x:c r="P508" t="str">
        <x:v>EMI Films</x:v>
      </x:c>
      <x:c r="Q508" t="str">
        <x:v>United States</x:v>
      </x:c>
      <x:c r="R508" t="str">
        <x:v>English</x:v>
      </x:c>
      <x:c r="S508" t="n">
        <x:v>15</x:v>
      </x:c>
      <x:c r="T508" t="n">
        <x:v>9000000</x:v>
      </x:c>
      <x:c r="U508" t="n">
        <x:v>47300000</x:v>
      </x:c>
      <x:c r="V508" t="n">
        <x:v>1</x:v>
      </x:c>
      <x:c r="W508" t="n">
        <x:v>0</x:v>
      </x:c>
    </x:row>
    <x:row r="509">
      <x:c r="J509" t="n">
        <x:v>533</x:v>
      </x:c>
      <x:c r="K509" t="str">
        <x:v>Annie Hall</x:v>
      </x:c>
      <x:c r="L509" t="n">
        <x:v>28235</x:v>
      </x:c>
      <x:c r="M509" t="n">
        <x:v>93</x:v>
      </x:c>
      <x:c r="N509" t="str">
        <x:v>Romantic Comedy</x:v>
      </x:c>
      <x:c r="O509" t="str">
        <x:v>Woody Allen</x:v>
      </x:c>
      <x:c r="P509" t="str">
        <x:v>United Artists</x:v>
      </x:c>
      <x:c r="Q509" t="str">
        <x:v>United States</x:v>
      </x:c>
      <x:c r="R509" t="str">
        <x:v>English</x:v>
      </x:c>
      <x:c r="S509" t="n">
        <x:v>15</x:v>
      </x:c>
      <x:c r="T509" t="n">
        <x:v>4000000</x:v>
      </x:c>
      <x:c r="U509" t="n">
        <x:v>38300000</x:v>
      </x:c>
      <x:c r="V509" t="n">
        <x:v>5</x:v>
      </x:c>
      <x:c r="W509" t="n">
        <x:v>4</x:v>
      </x:c>
    </x:row>
    <x:row r="510">
      <x:c r="J510" t="n">
        <x:v>534</x:v>
      </x:c>
      <x:c r="K510" t="str">
        <x:v>Rocky</x:v>
      </x:c>
      <x:c r="L510" t="n">
        <x:v>28085</x:v>
      </x:c>
      <x:c r="M510" t="n">
        <x:v>119</x:v>
      </x:c>
      <x:c r="N510" t="str">
        <x:v>Drama</x:v>
      </x:c>
      <x:c r="O510" t="str">
        <x:v>John G. Avildsen</x:v>
      </x:c>
      <x:c r="P510" t="str">
        <x:v>United Artists</x:v>
      </x:c>
      <x:c r="Q510" t="str">
        <x:v>United States</x:v>
      </x:c>
      <x:c r="R510" t="str">
        <x:v>English</x:v>
      </x:c>
      <x:c r="S510" t="str">
        <x:v>PG</x:v>
      </x:c>
      <x:c r="T510" t="n">
        <x:v>1100000</x:v>
      </x:c>
      <x:c r="U510" t="n">
        <x:v>225000000</x:v>
      </x:c>
      <x:c r="V510" t="n">
        <x:v>10</x:v>
      </x:c>
      <x:c r="W510" t="n">
        <x:v>3</x:v>
      </x:c>
    </x:row>
    <x:row r="511">
      <x:c r="J511" t="n">
        <x:v>537</x:v>
      </x:c>
      <x:c r="K511" t="str">
        <x:v>All the President's Men</x:v>
      </x:c>
      <x:c r="L511" t="n">
        <x:v>27859</x:v>
      </x:c>
      <x:c r="M511" t="n">
        <x:v>138</x:v>
      </x:c>
      <x:c r="N511" t="str">
        <x:v>Thriller</x:v>
      </x:c>
      <x:c r="O511" t="str">
        <x:v>Alan J. Pakula</x:v>
      </x:c>
      <x:c r="P511" t="str">
        <x:v>Warner Bros. Pictures</x:v>
      </x:c>
      <x:c r="Q511" t="str">
        <x:v>United States</x:v>
      </x:c>
      <x:c r="R511" t="str">
        <x:v>English</x:v>
      </x:c>
      <x:c r="S511" t="n">
        <x:v>15</x:v>
      </x:c>
      <x:c r="T511" t="n">
        <x:v>8500000</x:v>
      </x:c>
      <x:c r="U511" t="n">
        <x:v>70600000</x:v>
      </x:c>
      <x:c r="V511" t="n">
        <x:v>8</x:v>
      </x:c>
      <x:c r="W511" t="n">
        <x:v>4</x:v>
      </x:c>
    </x:row>
    <x:row r="512">
      <x:c r="J512" t="n">
        <x:v>538</x:v>
      </x:c>
      <x:c r="K512" t="str">
        <x:v>The Omen</x:v>
      </x:c>
      <x:c r="L512" t="n">
        <x:v>27917</x:v>
      </x:c>
      <x:c r="M512" t="n">
        <x:v>111</x:v>
      </x:c>
      <x:c r="N512" t="str">
        <x:v>Horror</x:v>
      </x:c>
      <x:c r="O512" t="str">
        <x:v>Richard Donner</x:v>
      </x:c>
      <x:c r="P512" t="str">
        <x:v>20th Century Fox</x:v>
      </x:c>
      <x:c r="Q512" t="str">
        <x:v>United States</x:v>
      </x:c>
      <x:c r="R512" t="str">
        <x:v>English</x:v>
      </x:c>
      <x:c r="S512" t="n">
        <x:v>18</x:v>
      </x:c>
      <x:c r="T512" t="n">
        <x:v>2800000</x:v>
      </x:c>
      <x:c r="U512" t="n">
        <x:v>60900000</x:v>
      </x:c>
      <x:c r="V512" t="n">
        <x:v>2</x:v>
      </x:c>
      <x:c r="W512" t="n">
        <x:v>1</x:v>
      </x:c>
    </x:row>
    <x:row r="513">
      <x:c r="J513" t="n">
        <x:v>540</x:v>
      </x:c>
      <x:c r="K513" t="str">
        <x:v>Silver Streak</x:v>
      </x:c>
      <x:c r="L513" t="n">
        <x:v>28102</x:v>
      </x:c>
      <x:c r="M513" t="n">
        <x:v>114</x:v>
      </x:c>
      <x:c r="N513" t="str">
        <x:v>Comedy</x:v>
      </x:c>
      <x:c r="O513" t="str">
        <x:v>Arthur Hiller</x:v>
      </x:c>
      <x:c r="P513" t="str">
        <x:v>20th Century Fox</x:v>
      </x:c>
      <x:c r="Q513" t="str">
        <x:v>United States</x:v>
      </x:c>
      <x:c r="R513" t="str">
        <x:v>English</x:v>
      </x:c>
      <x:c r="S513" t="str">
        <x:v>PG</x:v>
      </x:c>
      <x:c r="T513" t="n">
        <x:v>6500000</x:v>
      </x:c>
      <x:c r="U513" t="n">
        <x:v>51100000</x:v>
      </x:c>
      <x:c r="V513" t="n">
        <x:v>1</x:v>
      </x:c>
      <x:c r="W513" t="n">
        <x:v>0</x:v>
      </x:c>
    </x:row>
    <x:row r="514">
      <x:c r="J514" t="n">
        <x:v>541</x:v>
      </x:c>
      <x:c r="K514" t="str">
        <x:v>The Enforcer</x:v>
      </x:c>
      <x:c r="L514" t="n">
        <x:v>28116</x:v>
      </x:c>
      <x:c r="M514" t="n">
        <x:v>96</x:v>
      </x:c>
      <x:c r="N514" t="str">
        <x:v>Action</x:v>
      </x:c>
      <x:c r="O514" t="str">
        <x:v>James Fargo</x:v>
      </x:c>
      <x:c r="P514" t="str">
        <x:v>Warner Bros. Pictures</x:v>
      </x:c>
      <x:c r="Q514" t="str">
        <x:v>United States</x:v>
      </x:c>
      <x:c r="R514" t="str">
        <x:v>English</x:v>
      </x:c>
      <x:c r="S514" t="n">
        <x:v>18</x:v>
      </x:c>
      <x:c r="T514" t="n">
        <x:v>9000000</x:v>
      </x:c>
      <x:c r="U514" t="n">
        <x:v>46236000</x:v>
      </x:c>
      <x:c r="V514" t="n">
        <x:v>0</x:v>
      </x:c>
      <x:c r="W514" t="n">
        <x:v>0</x:v>
      </x:c>
    </x:row>
    <x:row r="515">
      <x:c r="J515" t="n">
        <x:v>542</x:v>
      </x:c>
      <x:c r="K515" t="str">
        <x:v>Midway</x:v>
      </x:c>
      <x:c r="L515" t="n">
        <x:v>27929</x:v>
      </x:c>
      <x:c r="M515" t="n">
        <x:v>131</x:v>
      </x:c>
      <x:c r="N515" t="str">
        <x:v>War</x:v>
      </x:c>
      <x:c r="O515" t="str">
        <x:v>Jack Smight</x:v>
      </x:c>
      <x:c r="P515" t="str">
        <x:v>Universal Pictures</x:v>
      </x:c>
      <x:c r="Q515" t="str">
        <x:v>United States</x:v>
      </x:c>
      <x:c r="R515" t="str">
        <x:v>English</x:v>
      </x:c>
      <x:c r="S515" t="str">
        <x:v>PG</x:v>
      </x:c>
      <x:c r="T515" t="n">
        <x:v>3000000</x:v>
      </x:c>
      <x:c r="U515" t="n">
        <x:v>43200000</x:v>
      </x:c>
      <x:c r="V515" t="n">
        <x:v>0</x:v>
      </x:c>
      <x:c r="W515" t="n">
        <x:v>0</x:v>
      </x:c>
    </x:row>
    <x:row r="516">
      <x:c r="J516" t="n">
        <x:v>543</x:v>
      </x:c>
      <x:c r="K516" t="str">
        <x:v>Jaws</x:v>
      </x:c>
      <x:c r="L516" t="n">
        <x:v>27565</x:v>
      </x:c>
      <x:c r="M516" t="n">
        <x:v>124</x:v>
      </x:c>
      <x:c r="N516" t="str">
        <x:v>Thriller</x:v>
      </x:c>
      <x:c r="O516" t="str">
        <x:v>Steven Spielberg</x:v>
      </x:c>
      <x:c r="P516" t="str">
        <x:v>Universal Pictures</x:v>
      </x:c>
      <x:c r="Q516" t="str">
        <x:v>United States</x:v>
      </x:c>
      <x:c r="R516" t="str">
        <x:v>English</x:v>
      </x:c>
      <x:c r="S516" t="str">
        <x:v>PG</x:v>
      </x:c>
      <x:c r="T516" t="n">
        <x:v>9000000</x:v>
      </x:c>
      <x:c r="U516" t="n">
        <x:v>470700000</x:v>
      </x:c>
      <x:c r="V516" t="n">
        <x:v>4</x:v>
      </x:c>
      <x:c r="W516" t="n">
        <x:v>3</x:v>
      </x:c>
    </x:row>
    <x:row r="517">
      <x:c r="J517" t="n">
        <x:v>544</x:v>
      </x:c>
      <x:c r="K517" t="str">
        <x:v>The Rocky Horror Picture Show</x:v>
      </x:c>
      <x:c r="L517" t="n">
        <x:v>27620</x:v>
      </x:c>
      <x:c r="M517" t="n">
        <x:v>100</x:v>
      </x:c>
      <x:c r="N517" t="str">
        <x:v>Musical</x:v>
      </x:c>
      <x:c r="O517" t="str">
        <x:v>Jim Sharman</x:v>
      </x:c>
      <x:c r="P517" t="str">
        <x:v>20th Century Fox</x:v>
      </x:c>
      <x:c r="Q517" t="str">
        <x:v>United Kingdom</x:v>
      </x:c>
      <x:c r="R517" t="str">
        <x:v>English</x:v>
      </x:c>
      <x:c r="S517" t="n">
        <x:v>15</x:v>
      </x:c>
      <x:c r="T517" t="n">
        <x:v>1400000</x:v>
      </x:c>
      <x:c r="U517" t="n">
        <x:v>140200000</x:v>
      </x:c>
      <x:c r="V517" t="n">
        <x:v>0</x:v>
      </x:c>
      <x:c r="W517" t="n">
        <x:v>0</x:v>
      </x:c>
    </x:row>
    <x:row r="518">
      <x:c r="J518" t="n">
        <x:v>545</x:v>
      </x:c>
      <x:c r="K518" t="str">
        <x:v>One Flew Over the Cuckoo's Nest</x:v>
      </x:c>
      <x:c r="L518" t="n">
        <x:v>27717</x:v>
      </x:c>
      <x:c r="M518" t="n">
        <x:v>133</x:v>
      </x:c>
      <x:c r="N518" t="str">
        <x:v>Drama</x:v>
      </x:c>
      <x:c r="O518" t="str">
        <x:v>Milos Forman</x:v>
      </x:c>
      <x:c r="P518" t="str">
        <x:v>United Artists</x:v>
      </x:c>
      <x:c r="Q518" t="str">
        <x:v>United States</x:v>
      </x:c>
      <x:c r="R518" t="str">
        <x:v>English</x:v>
      </x:c>
      <x:c r="S518" t="n">
        <x:v>18</x:v>
      </x:c>
      <x:c r="T518" t="n">
        <x:v>3000000</x:v>
      </x:c>
      <x:c r="U518" t="n">
        <x:v>109000000</x:v>
      </x:c>
      <x:c r="V518" t="n">
        <x:v>9</x:v>
      </x:c>
      <x:c r="W518" t="n">
        <x:v>5</x:v>
      </x:c>
    </x:row>
    <x:row r="519">
      <x:c r="J519" t="n">
        <x:v>546</x:v>
      </x:c>
      <x:c r="K519" t="str">
        <x:v>Dog Day Afternoon</x:v>
      </x:c>
      <x:c r="L519" t="n">
        <x:v>27658</x:v>
      </x:c>
      <x:c r="M519" t="n">
        <x:v>125</x:v>
      </x:c>
      <x:c r="N519" t="str">
        <x:v>Crime</x:v>
      </x:c>
      <x:c r="O519" t="str">
        <x:v>Sidney Lumet</x:v>
      </x:c>
      <x:c r="P519" t="str">
        <x:v>Warner Bros. Pictures</x:v>
      </x:c>
      <x:c r="Q519" t="str">
        <x:v>United States</x:v>
      </x:c>
      <x:c r="R519" t="str">
        <x:v>English</x:v>
      </x:c>
      <x:c r="S519" t="n">
        <x:v>15</x:v>
      </x:c>
      <x:c r="T519" t="n">
        <x:v>1800000</x:v>
      </x:c>
      <x:c r="U519" t="n">
        <x:v>50000000</x:v>
      </x:c>
      <x:c r="V519" t="n">
        <x:v>6</x:v>
      </x:c>
      <x:c r="W519" t="n">
        <x:v>1</x:v>
      </x:c>
    </x:row>
    <x:row r="520">
      <x:c r="J520" t="n">
        <x:v>547</x:v>
      </x:c>
      <x:c r="K520" t="str">
        <x:v>Shampoo</x:v>
      </x:c>
      <x:c r="L520" t="n">
        <x:v>27436</x:v>
      </x:c>
      <x:c r="M520" t="n">
        <x:v>110</x:v>
      </x:c>
      <x:c r="N520" t="str">
        <x:v>Drama</x:v>
      </x:c>
      <x:c r="O520" t="str">
        <x:v>Hal Ashby</x:v>
      </x:c>
      <x:c r="P520" t="str">
        <x:v>Columbia Pictures</x:v>
      </x:c>
      <x:c r="Q520" t="str">
        <x:v>United States</x:v>
      </x:c>
      <x:c r="R520" t="str">
        <x:v>English</x:v>
      </x:c>
      <x:c r="S520" t="n">
        <x:v>18</x:v>
      </x:c>
      <x:c r="T520" t="n">
        <x:v>4000000</x:v>
      </x:c>
      <x:c r="U520" t="n">
        <x:v>60000000</x:v>
      </x:c>
      <x:c r="V520" t="n">
        <x:v>4</x:v>
      </x:c>
      <x:c r="W520" t="n">
        <x:v>1</x:v>
      </x:c>
    </x:row>
    <x:row r="521">
      <x:c r="J521" t="n">
        <x:v>548</x:v>
      </x:c>
      <x:c r="K521" t="str">
        <x:v>The Return of the Pink Panther</x:v>
      </x:c>
      <x:c r="L521" t="n">
        <x:v>27535</x:v>
      </x:c>
      <x:c r="M521" t="n">
        <x:v>114</x:v>
      </x:c>
      <x:c r="N521" t="str">
        <x:v>Comedy</x:v>
      </x:c>
      <x:c r="O521" t="str">
        <x:v>Blake Edwards</x:v>
      </x:c>
      <x:c r="P521" t="str">
        <x:v>United Artists</x:v>
      </x:c>
      <x:c r="Q521" t="str">
        <x:v>United Kingdom</x:v>
      </x:c>
      <x:c r="R521" t="str">
        <x:v>English</x:v>
      </x:c>
      <x:c r="S521" t="str">
        <x:v>U</x:v>
      </x:c>
      <x:c r="T521" t="n">
        <x:v>5000000</x:v>
      </x:c>
      <x:c r="U521" t="n">
        <x:v>41800000</x:v>
      </x:c>
      <x:c r="V521" t="n">
        <x:v>0</x:v>
      </x:c>
      <x:c r="W521" t="n">
        <x:v>0</x:v>
      </x:c>
    </x:row>
    <x:row r="522">
      <x:c r="J522" t="n">
        <x:v>553</x:v>
      </x:c>
      <x:c r="K522" t="str">
        <x:v>Blazing Saddles</x:v>
      </x:c>
      <x:c r="L522" t="n">
        <x:v>27067</x:v>
      </x:c>
      <x:c r="M522" t="n">
        <x:v>92</x:v>
      </x:c>
      <x:c r="N522" t="str">
        <x:v>Comedy</x:v>
      </x:c>
      <x:c r="O522" t="str">
        <x:v>Mel Brooks</x:v>
      </x:c>
      <x:c r="P522" t="str">
        <x:v>Warner Bros. Pictures</x:v>
      </x:c>
      <x:c r="Q522" t="str">
        <x:v>United States</x:v>
      </x:c>
      <x:c r="R522" t="str">
        <x:v>English</x:v>
      </x:c>
      <x:c r="S522" t="n">
        <x:v>15</x:v>
      </x:c>
      <x:c r="T522" t="n">
        <x:v>2600000</x:v>
      </x:c>
      <x:c r="U522" t="n">
        <x:v>119600000</x:v>
      </x:c>
      <x:c r="V522" t="n">
        <x:v>3</x:v>
      </x:c>
      <x:c r="W522" t="n">
        <x:v>0</x:v>
      </x:c>
    </x:row>
    <x:row r="523">
      <x:c r="J523" t="n">
        <x:v>554</x:v>
      </x:c>
      <x:c r="K523" t="str">
        <x:v>The Towering Inferno</x:v>
      </x:c>
      <x:c r="L523" t="n">
        <x:v>27377</x:v>
      </x:c>
      <x:c r="M523" t="n">
        <x:v>165</x:v>
      </x:c>
      <x:c r="N523" t="str">
        <x:v>Disaster</x:v>
      </x:c>
      <x:c r="O523" t="str">
        <x:v>John Guillermin</x:v>
      </x:c>
      <x:c r="P523" t="str">
        <x:v>20th Century Fox</x:v>
      </x:c>
      <x:c r="Q523" t="str">
        <x:v>United States</x:v>
      </x:c>
      <x:c r="R523" t="str">
        <x:v>English</x:v>
      </x:c>
      <x:c r="S523" t="n">
        <x:v>15</x:v>
      </x:c>
      <x:c r="T523" t="n">
        <x:v>14300000</x:v>
      </x:c>
      <x:c r="U523" t="n">
        <x:v>139700000</x:v>
      </x:c>
      <x:c r="V523" t="n">
        <x:v>8</x:v>
      </x:c>
      <x:c r="W523" t="n">
        <x:v>3</x:v>
      </x:c>
    </x:row>
    <x:row r="524">
      <x:c r="J524" t="n">
        <x:v>556</x:v>
      </x:c>
      <x:c r="K524" t="str">
        <x:v>Young Frankenstein</x:v>
      </x:c>
      <x:c r="L524" t="n">
        <x:v>27378</x:v>
      </x:c>
      <x:c r="M524" t="n">
        <x:v>105</x:v>
      </x:c>
      <x:c r="N524" t="str">
        <x:v>Comedy</x:v>
      </x:c>
      <x:c r="O524" t="str">
        <x:v>Mel Brooks</x:v>
      </x:c>
      <x:c r="P524" t="str">
        <x:v>20th Century Fox</x:v>
      </x:c>
      <x:c r="Q524" t="str">
        <x:v>United States</x:v>
      </x:c>
      <x:c r="R524" t="str">
        <x:v>English</x:v>
      </x:c>
      <x:c r="S524" t="n">
        <x:v>15</x:v>
      </x:c>
      <x:c r="T524" t="n">
        <x:v>2780000</x:v>
      </x:c>
      <x:c r="U524" t="n">
        <x:v>86200000</x:v>
      </x:c>
      <x:c r="V524" t="n">
        <x:v>2</x:v>
      </x:c>
      <x:c r="W524" t="n">
        <x:v>0</x:v>
      </x:c>
    </x:row>
    <x:row r="525">
      <x:c r="J525" t="n">
        <x:v>557</x:v>
      </x:c>
      <x:c r="K525" t="str">
        <x:v>Earthquake</x:v>
      </x:c>
      <x:c r="L525" t="n">
        <x:v>27348</x:v>
      </x:c>
      <x:c r="M525" t="n">
        <x:v>121</x:v>
      </x:c>
      <x:c r="N525" t="str">
        <x:v>Disaster</x:v>
      </x:c>
      <x:c r="O525" t="str">
        <x:v>Mark Robson</x:v>
      </x:c>
      <x:c r="P525" t="str">
        <x:v>Universal Pictures</x:v>
      </x:c>
      <x:c r="Q525" t="str">
        <x:v>United States</x:v>
      </x:c>
      <x:c r="R525" t="str">
        <x:v>English</x:v>
      </x:c>
      <x:c r="S525" t="str">
        <x:v>PG</x:v>
      </x:c>
      <x:c r="T525" t="n">
        <x:v>7000000</x:v>
      </x:c>
      <x:c r="U525" t="n">
        <x:v>79666653</x:v>
      </x:c>
      <x:c r="V525" t="n">
        <x:v>4</x:v>
      </x:c>
      <x:c r="W525" t="n">
        <x:v>1</x:v>
      </x:c>
    </x:row>
    <x:row r="526">
      <x:c r="J526" t="n">
        <x:v>558</x:v>
      </x:c>
      <x:c r="K526" t="str">
        <x:v>The Godfather Part II</x:v>
      </x:c>
      <x:c r="L526" t="n">
        <x:v>27375</x:v>
      </x:c>
      <x:c r="M526" t="n">
        <x:v>202</x:v>
      </x:c>
      <x:c r="N526" t="str">
        <x:v>Crime</x:v>
      </x:c>
      <x:c r="O526" t="str">
        <x:v>Francis Ford Coppola</x:v>
      </x:c>
      <x:c r="P526" t="str">
        <x:v>Paramount Pictures</x:v>
      </x:c>
      <x:c r="Q526" t="str">
        <x:v>United States</x:v>
      </x:c>
      <x:c r="R526" t="str">
        <x:v>English</x:v>
      </x:c>
      <x:c r="S526" t="n">
        <x:v>18</x:v>
      </x:c>
      <x:c r="T526" t="n">
        <x:v>13000000</x:v>
      </x:c>
      <x:c r="U526" t="n">
        <x:v>57300000</x:v>
      </x:c>
      <x:c r="V526" t="n">
        <x:v>11</x:v>
      </x:c>
      <x:c r="W526" t="n">
        <x:v>6</x:v>
      </x:c>
    </x:row>
    <x:row r="527">
      <x:c r="J527" t="n">
        <x:v>559</x:v>
      </x:c>
      <x:c r="K527" t="str">
        <x:v>Airport 1975</x:v>
      </x:c>
      <x:c r="L527" t="n">
        <x:v>27320</x:v>
      </x:c>
      <x:c r="M527" t="n">
        <x:v>106</x:v>
      </x:c>
      <x:c r="N527" t="str">
        <x:v>Disaster</x:v>
      </x:c>
      <x:c r="O527" t="str">
        <x:v>Jack Smight</x:v>
      </x:c>
      <x:c r="P527" t="str">
        <x:v>Universal Pictures</x:v>
      </x:c>
      <x:c r="Q527" t="str">
        <x:v>United States</x:v>
      </x:c>
      <x:c r="R527" t="str">
        <x:v>English</x:v>
      </x:c>
      <x:c r="S527" t="str">
        <x:v>PG</x:v>
      </x:c>
      <x:c r="T527" t="n">
        <x:v>3000000</x:v>
      </x:c>
      <x:c r="U527" t="n">
        <x:v>47285152</x:v>
      </x:c>
      <x:c r="V527" t="n">
        <x:v>0</x:v>
      </x:c>
      <x:c r="W527" t="n">
        <x:v>0</x:v>
      </x:c>
    </x:row>
    <x:row r="528">
      <x:c r="J528" t="n">
        <x:v>561</x:v>
      </x:c>
      <x:c r="K528" t="str">
        <x:v>The Longest Yard</x:v>
      </x:c>
      <x:c r="L528" t="n">
        <x:v>27262</x:v>
      </x:c>
      <x:c r="M528" t="n">
        <x:v>121</x:v>
      </x:c>
      <x:c r="N528" t="str">
        <x:v>Comedy</x:v>
      </x:c>
      <x:c r="O528" t="str">
        <x:v>Robert Aldrich</x:v>
      </x:c>
      <x:c r="P528" t="str">
        <x:v>Paramount Pictures</x:v>
      </x:c>
      <x:c r="Q528" t="str">
        <x:v>United States</x:v>
      </x:c>
      <x:c r="R528" t="str">
        <x:v>English</x:v>
      </x:c>
      <x:c r="S528" t="n">
        <x:v>15</x:v>
      </x:c>
      <x:c r="T528" t="n">
        <x:v>2900000</x:v>
      </x:c>
      <x:c r="U528" t="n">
        <x:v>43008075</x:v>
      </x:c>
      <x:c r="V528" t="n">
        <x:v>1</x:v>
      </x:c>
      <x:c r="W528" t="n">
        <x:v>0</x:v>
      </x:c>
    </x:row>
    <x:row r="529">
      <x:c r="J529" t="n">
        <x:v>563</x:v>
      </x:c>
      <x:c r="K529" t="str">
        <x:v>The Sting</x:v>
      </x:c>
      <x:c r="L529" t="n">
        <x:v>27024</x:v>
      </x:c>
      <x:c r="M529" t="n">
        <x:v>129</x:v>
      </x:c>
      <x:c r="N529" t="str">
        <x:v>Crime</x:v>
      </x:c>
      <x:c r="O529" t="str">
        <x:v>George Roy Hill</x:v>
      </x:c>
      <x:c r="P529" t="str">
        <x:v>Universal Pictures</x:v>
      </x:c>
      <x:c r="Q529" t="str">
        <x:v>United States</x:v>
      </x:c>
      <x:c r="R529" t="str">
        <x:v>English</x:v>
      </x:c>
      <x:c r="S529" t="str">
        <x:v>PG</x:v>
      </x:c>
      <x:c r="T529" t="n">
        <x:v>5500000</x:v>
      </x:c>
      <x:c r="U529" t="n">
        <x:v>159600000</x:v>
      </x:c>
      <x:c r="V529" t="n">
        <x:v>10</x:v>
      </x:c>
      <x:c r="W529" t="n">
        <x:v>7</x:v>
      </x:c>
    </x:row>
    <x:row r="530">
      <x:c r="J530" t="n">
        <x:v>564</x:v>
      </x:c>
      <x:c r="K530" t="str">
        <x:v>The Exorcist</x:v>
      </x:c>
      <x:c r="L530" t="n">
        <x:v>27024</x:v>
      </x:c>
      <x:c r="M530" t="n">
        <x:v>121</x:v>
      </x:c>
      <x:c r="N530" t="str">
        <x:v>Horror</x:v>
      </x:c>
      <x:c r="O530" t="str">
        <x:v>William Friedkin</x:v>
      </x:c>
      <x:c r="P530" t="str">
        <x:v>Warner Bros. Pictures</x:v>
      </x:c>
      <x:c r="Q530" t="str">
        <x:v>United States</x:v>
      </x:c>
      <x:c r="R530" t="str">
        <x:v>English</x:v>
      </x:c>
      <x:c r="S530" t="n">
        <x:v>18</x:v>
      </x:c>
      <x:c r="T530" t="n">
        <x:v>12000000</x:v>
      </x:c>
      <x:c r="U530" t="n">
        <x:v>441300000</x:v>
      </x:c>
      <x:c r="V530" t="n">
        <x:v>10</x:v>
      </x:c>
      <x:c r="W530" t="n">
        <x:v>2</x:v>
      </x:c>
    </x:row>
    <x:row r="531">
      <x:c r="J531" t="n">
        <x:v>565</x:v>
      </x:c>
      <x:c r="K531" t="str">
        <x:v>American Graffiti</x:v>
      </x:c>
      <x:c r="L531" t="n">
        <x:v>26878</x:v>
      </x:c>
      <x:c r="M531" t="n">
        <x:v>112</x:v>
      </x:c>
      <x:c r="N531" t="str">
        <x:v>Drama</x:v>
      </x:c>
      <x:c r="O531" t="str">
        <x:v>George Lucas</x:v>
      </x:c>
      <x:c r="P531" t="str">
        <x:v>Lucasfilm</x:v>
      </x:c>
      <x:c r="Q531" t="str">
        <x:v>United States</x:v>
      </x:c>
      <x:c r="R531" t="str">
        <x:v>English</x:v>
      </x:c>
      <x:c r="S531" t="str">
        <x:v>PG</x:v>
      </x:c>
      <x:c r="T531" t="n">
        <x:v>777000</x:v>
      </x:c>
      <x:c r="U531" t="n">
        <x:v>140000000</x:v>
      </x:c>
      <x:c r="V531" t="n">
        <x:v>5</x:v>
      </x:c>
      <x:c r="W531" t="n">
        <x:v>0</x:v>
      </x:c>
    </x:row>
    <x:row r="532">
      <x:c r="J532" t="n">
        <x:v>566</x:v>
      </x:c>
      <x:c r="K532" t="str">
        <x:v>Papillon</x:v>
      </x:c>
      <x:c r="L532" t="n">
        <x:v>27014</x:v>
      </x:c>
      <x:c r="M532" t="n">
        <x:v>150</x:v>
      </x:c>
      <x:c r="N532" t="str">
        <x:v>Crime</x:v>
      </x:c>
      <x:c r="O532" t="str">
        <x:v>Franklin J. Schaffner</x:v>
      </x:c>
      <x:c r="P532" t="str">
        <x:v>Columbia Pictures</x:v>
      </x:c>
      <x:c r="Q532" t="str">
        <x:v>United States</x:v>
      </x:c>
      <x:c r="R532" t="str">
        <x:v>English</x:v>
      </x:c>
      <x:c r="S532" t="n">
        <x:v>15</x:v>
      </x:c>
      <x:c r="T532" t="n">
        <x:v>13500000</x:v>
      </x:c>
      <x:c r="U532" t="n">
        <x:v>53267000</x:v>
      </x:c>
      <x:c r="V532" t="n">
        <x:v>1</x:v>
      </x:c>
      <x:c r="W532" t="n">
        <x:v>0</x:v>
      </x:c>
    </x:row>
    <x:row r="533">
      <x:c r="J533" t="n">
        <x:v>568</x:v>
      </x:c>
      <x:c r="K533" t="str">
        <x:v>Magnum Force</x:v>
      </x:c>
      <x:c r="L533" t="n">
        <x:v>27023</x:v>
      </x:c>
      <x:c r="M533" t="n">
        <x:v>124</x:v>
      </x:c>
      <x:c r="N533" t="str">
        <x:v>Action</x:v>
      </x:c>
      <x:c r="O533" t="str">
        <x:v>Ted Post</x:v>
      </x:c>
      <x:c r="P533" t="str">
        <x:v>The Malpaso Company</x:v>
      </x:c>
      <x:c r="Q533" t="str">
        <x:v>United States</x:v>
      </x:c>
      <x:c r="R533" t="str">
        <x:v>English</x:v>
      </x:c>
      <x:c r="S533" t="n">
        <x:v>18</x:v>
      </x:c>
      <x:c r="T533"/>
      <x:c r="U533" t="n">
        <x:v>44680473</x:v>
      </x:c>
      <x:c r="V533" t="n">
        <x:v>0</x:v>
      </x:c>
      <x:c r="W533" t="n">
        <x:v>0</x:v>
      </x:c>
    </x:row>
    <x:row r="534">
      <x:c r="J534" t="n">
        <x:v>570</x:v>
      </x:c>
      <x:c r="K534" t="str">
        <x:v>Robin Hood</x:v>
      </x:c>
      <x:c r="L534" t="n">
        <x:v>26976</x:v>
      </x:c>
      <x:c r="M534" t="n">
        <x:v>83</x:v>
      </x:c>
      <x:c r="N534" t="str">
        <x:v>Animation</x:v>
      </x:c>
      <x:c r="O534" t="str">
        <x:v>Wolfgang Reitherman</x:v>
      </x:c>
      <x:c r="P534" t="str">
        <x:v>Walt Disney Pictures</x:v>
      </x:c>
      <x:c r="Q534" t="str">
        <x:v>United States</x:v>
      </x:c>
      <x:c r="R534" t="str">
        <x:v>English</x:v>
      </x:c>
      <x:c r="S534" t="str">
        <x:v>U</x:v>
      </x:c>
      <x:c r="T534" t="n">
        <x:v>5000000</x:v>
      </x:c>
      <x:c r="U534" t="n">
        <x:v>32000000</x:v>
      </x:c>
      <x:c r="V534" t="n">
        <x:v>1</x:v>
      </x:c>
      <x:c r="W534" t="n">
        <x:v>0</x:v>
      </x:c>
    </x:row>
    <x:row r="535">
      <x:c r="J535" t="n">
        <x:v>572</x:v>
      </x:c>
      <x:c r="K535" t="str">
        <x:v>The Godfather</x:v>
      </x:c>
      <x:c r="L535" t="n">
        <x:v>26382</x:v>
      </x:c>
      <x:c r="M535" t="n">
        <x:v>177</x:v>
      </x:c>
      <x:c r="N535" t="str">
        <x:v>Crime</x:v>
      </x:c>
      <x:c r="O535" t="str">
        <x:v>Francis Ford Coppola</x:v>
      </x:c>
      <x:c r="P535" t="str">
        <x:v>Paramount Pictures</x:v>
      </x:c>
      <x:c r="Q535" t="str">
        <x:v>United States</x:v>
      </x:c>
      <x:c r="R535" t="str">
        <x:v>English</x:v>
      </x:c>
      <x:c r="S535" t="n">
        <x:v>18</x:v>
      </x:c>
      <x:c r="T535" t="n">
        <x:v>7000000</x:v>
      </x:c>
      <x:c r="U535" t="n">
        <x:v>245100000</x:v>
      </x:c>
      <x:c r="V535" t="n">
        <x:v>11</x:v>
      </x:c>
      <x:c r="W535" t="n">
        <x:v>3</x:v>
      </x:c>
    </x:row>
    <x:row r="536">
      <x:c r="J536" t="n">
        <x:v>573</x:v>
      </x:c>
      <x:c r="K536" t="str">
        <x:v>The Poseidon Adventure</x:v>
      </x:c>
      <x:c r="L536" t="n">
        <x:v>26645</x:v>
      </x:c>
      <x:c r="M536" t="n">
        <x:v>117</x:v>
      </x:c>
      <x:c r="N536" t="str">
        <x:v>Disaster</x:v>
      </x:c>
      <x:c r="O536" t="str">
        <x:v>Ronald Neame</x:v>
      </x:c>
      <x:c r="P536" t="str">
        <x:v>20th Century Fox</x:v>
      </x:c>
      <x:c r="Q536" t="str">
        <x:v>United States</x:v>
      </x:c>
      <x:c r="R536" t="str">
        <x:v>English</x:v>
      </x:c>
      <x:c r="S536" t="str">
        <x:v>PG</x:v>
      </x:c>
      <x:c r="T536" t="n">
        <x:v>4700000</x:v>
      </x:c>
      <x:c r="U536" t="n">
        <x:v>127300000</x:v>
      </x:c>
      <x:c r="V536" t="n">
        <x:v>8</x:v>
      </x:c>
      <x:c r="W536" t="n">
        <x:v>1</x:v>
      </x:c>
    </x:row>
    <x:row r="537">
      <x:c r="J537" t="n">
        <x:v>576</x:v>
      </x:c>
      <x:c r="K537" t="str">
        <x:v>Deliverance</x:v>
      </x:c>
      <x:c r="L537" t="n">
        <x:v>26510</x:v>
      </x:c>
      <x:c r="M537" t="n">
        <x:v>110</x:v>
      </x:c>
      <x:c r="N537" t="str">
        <x:v>Thriller</x:v>
      </x:c>
      <x:c r="O537" t="str">
        <x:v>John Boorman</x:v>
      </x:c>
      <x:c r="P537" t="str">
        <x:v>Warner Bros. Pictures</x:v>
      </x:c>
      <x:c r="Q537" t="str">
        <x:v>United States</x:v>
      </x:c>
      <x:c r="R537" t="str">
        <x:v>English</x:v>
      </x:c>
      <x:c r="S537" t="n">
        <x:v>18</x:v>
      </x:c>
      <x:c r="T537" t="n">
        <x:v>2000000</x:v>
      </x:c>
      <x:c r="U537" t="n">
        <x:v>4610000</x:v>
      </x:c>
      <x:c r="V537" t="n">
        <x:v>3</x:v>
      </x:c>
      <x:c r="W537" t="n">
        <x:v>0</x:v>
      </x:c>
    </x:row>
    <x:row r="538">
      <x:c r="J538" t="n">
        <x:v>578</x:v>
      </x:c>
      <x:c r="K538" t="str">
        <x:v>Cabaret</x:v>
      </x:c>
      <x:c r="L538" t="n">
        <x:v>26342</x:v>
      </x:c>
      <x:c r="M538" t="n">
        <x:v>124</x:v>
      </x:c>
      <x:c r="N538" t="str">
        <x:v>Musical</x:v>
      </x:c>
      <x:c r="O538" t="str">
        <x:v>Bob Fosse</x:v>
      </x:c>
      <x:c r="P538" t="str">
        <x:v>Allied Artists</x:v>
      </x:c>
      <x:c r="Q538" t="str">
        <x:v>United States</x:v>
      </x:c>
      <x:c r="R538" t="str">
        <x:v>English</x:v>
      </x:c>
      <x:c r="S538" t="n">
        <x:v>15</x:v>
      </x:c>
      <x:c r="T538" t="n">
        <x:v>2285000</x:v>
      </x:c>
      <x:c r="U538" t="n">
        <x:v>42765000</x:v>
      </x:c>
      <x:c r="V538" t="n">
        <x:v>10</x:v>
      </x:c>
      <x:c r="W538" t="n">
        <x:v>8</x:v>
      </x:c>
    </x:row>
    <x:row r="539">
      <x:c r="J539" t="n">
        <x:v>582</x:v>
      </x:c>
      <x:c r="K539" t="str">
        <x:v>Fiddler on the Roof</x:v>
      </x:c>
      <x:c r="L539" t="n">
        <x:v>26240</x:v>
      </x:c>
      <x:c r="M539" t="n">
        <x:v>179</x:v>
      </x:c>
      <x:c r="N539" t="str">
        <x:v>Musical</x:v>
      </x:c>
      <x:c r="O539" t="str">
        <x:v>Norman Jewison</x:v>
      </x:c>
      <x:c r="P539" t="str">
        <x:v>The Mirisch Production Company</x:v>
      </x:c>
      <x:c r="Q539" t="str">
        <x:v>United States</x:v>
      </x:c>
      <x:c r="R539" t="str">
        <x:v>English</x:v>
      </x:c>
      <x:c r="S539" t="str">
        <x:v>U</x:v>
      </x:c>
      <x:c r="T539" t="n">
        <x:v>9000000</x:v>
      </x:c>
      <x:c r="U539" t="n">
        <x:v>83300000</x:v>
      </x:c>
      <x:c r="V539" t="n">
        <x:v>8</x:v>
      </x:c>
      <x:c r="W539" t="n">
        <x:v>3</x:v>
      </x:c>
    </x:row>
    <x:row r="540">
      <x:c r="J540" t="n">
        <x:v>583</x:v>
      </x:c>
      <x:c r="K540" t="str">
        <x:v>The French Connection</x:v>
      </x:c>
      <x:c r="L540" t="n">
        <x:v>26215</x:v>
      </x:c>
      <x:c r="M540" t="n">
        <x:v>104</x:v>
      </x:c>
      <x:c r="N540" t="str">
        <x:v>Crime</x:v>
      </x:c>
      <x:c r="O540" t="str">
        <x:v>William Friedkin</x:v>
      </x:c>
      <x:c r="P540" t="str">
        <x:v>20th Century Fox</x:v>
      </x:c>
      <x:c r="Q540" t="str">
        <x:v>United States</x:v>
      </x:c>
      <x:c r="R540" t="str">
        <x:v>English</x:v>
      </x:c>
      <x:c r="S540" t="n">
        <x:v>18</x:v>
      </x:c>
      <x:c r="T540" t="n">
        <x:v>1800000</x:v>
      </x:c>
      <x:c r="U540" t="n">
        <x:v>51700000</x:v>
      </x:c>
      <x:c r="V540" t="n">
        <x:v>8</x:v>
      </x:c>
      <x:c r="W540" t="n">
        <x:v>5</x:v>
      </x:c>
    </x:row>
    <x:row r="541">
      <x:c r="J541" t="n">
        <x:v>584</x:v>
      </x:c>
      <x:c r="K541" t="str">
        <x:v>Dirty Harry</x:v>
      </x:c>
      <x:c r="L541" t="n">
        <x:v>26290</x:v>
      </x:c>
      <x:c r="M541" t="n">
        <x:v>102</x:v>
      </x:c>
      <x:c r="N541" t="str">
        <x:v>Thriller</x:v>
      </x:c>
      <x:c r="O541" t="str">
        <x:v>Don Siegel</x:v>
      </x:c>
      <x:c r="P541" t="str">
        <x:v>The Malpaso Company</x:v>
      </x:c>
      <x:c r="Q541" t="str">
        <x:v>United States</x:v>
      </x:c>
      <x:c r="R541" t="str">
        <x:v>English</x:v>
      </x:c>
      <x:c r="S541" t="n">
        <x:v>18</x:v>
      </x:c>
      <x:c r="T541" t="n">
        <x:v>4000000</x:v>
      </x:c>
      <x:c r="U541" t="n">
        <x:v>36000000</x:v>
      </x:c>
      <x:c r="V541" t="n">
        <x:v>0</x:v>
      </x:c>
      <x:c r="W541" t="n">
        <x:v>0</x:v>
      </x:c>
    </x:row>
    <x:row r="542">
      <x:c r="J542" t="n">
        <x:v>588</x:v>
      </x:c>
      <x:c r="K542" t="str">
        <x:v>A Clockwork Orange</x:v>
      </x:c>
      <x:c r="L542" t="n">
        <x:v>26286</x:v>
      </x:c>
      <x:c r="M542" t="n">
        <x:v>136</x:v>
      </x:c>
      <x:c r="N542" t="str">
        <x:v>Drama</x:v>
      </x:c>
      <x:c r="O542" t="str">
        <x:v>Stanley Kubrick</x:v>
      </x:c>
      <x:c r="P542" t="str">
        <x:v>Hawk Films</x:v>
      </x:c>
      <x:c r="Q542" t="str">
        <x:v>United Kingdom</x:v>
      </x:c>
      <x:c r="R542" t="str">
        <x:v>English</x:v>
      </x:c>
      <x:c r="S542" t="n">
        <x:v>18</x:v>
      </x:c>
      <x:c r="T542" t="n">
        <x:v>2200000</x:v>
      </x:c>
      <x:c r="U542" t="n">
        <x:v>26600000</x:v>
      </x:c>
      <x:c r="V542" t="n">
        <x:v>4</x:v>
      </x:c>
      <x:c r="W542" t="n">
        <x:v>0</x:v>
      </x:c>
    </x:row>
    <x:row r="543">
      <x:c r="J543" t="n">
        <x:v>589</x:v>
      </x:c>
      <x:c r="K543" t="str">
        <x:v>Bedknobs and Broomsticks</x:v>
      </x:c>
      <x:c r="L543" t="n">
        <x:v>26213</x:v>
      </x:c>
      <x:c r="M543" t="n">
        <x:v>117</x:v>
      </x:c>
      <x:c r="N543" t="str">
        <x:v>Adventure</x:v>
      </x:c>
      <x:c r="O543" t="str">
        <x:v>Robert Stevenson</x:v>
      </x:c>
      <x:c r="P543" t="str">
        <x:v>Walt Disney Pictures</x:v>
      </x:c>
      <x:c r="Q543" t="str">
        <x:v>United Kingdom</x:v>
      </x:c>
      <x:c r="R543" t="str">
        <x:v>English</x:v>
      </x:c>
      <x:c r="S543" t="str">
        <x:v>U</x:v>
      </x:c>
      <x:c r="T543" t="n">
        <x:v>20000000</x:v>
      </x:c>
      <x:c r="U543" t="n">
        <x:v>18530000</x:v>
      </x:c>
      <x:c r="V543" t="n">
        <x:v>5</x:v>
      </x:c>
      <x:c r="W543" t="n">
        <x:v>1</x:v>
      </x:c>
    </x:row>
    <x:row r="544">
      <x:c r="J544" t="n">
        <x:v>590</x:v>
      </x:c>
      <x:c r="K544" t="str">
        <x:v>Love Story</x:v>
      </x:c>
      <x:c r="L544" t="n">
        <x:v>25918</x:v>
      </x:c>
      <x:c r="M544" t="n">
        <x:v>100</x:v>
      </x:c>
      <x:c r="N544" t="str">
        <x:v>Romance</x:v>
      </x:c>
      <x:c r="O544" t="str">
        <x:v>Arthur Hiller</x:v>
      </x:c>
      <x:c r="P544" t="str">
        <x:v>Paramount Pictures</x:v>
      </x:c>
      <x:c r="Q544" t="str">
        <x:v>United States</x:v>
      </x:c>
      <x:c r="R544" t="str">
        <x:v>English</x:v>
      </x:c>
      <x:c r="S544" t="str">
        <x:v>PG</x:v>
      </x:c>
      <x:c r="T544" t="n">
        <x:v>2200000</x:v>
      </x:c>
      <x:c r="U544" t="n">
        <x:v>136400000</x:v>
      </x:c>
      <x:c r="V544" t="n">
        <x:v>7</x:v>
      </x:c>
      <x:c r="W544" t="n">
        <x:v>1</x:v>
      </x:c>
    </x:row>
    <x:row r="545">
      <x:c r="J545" t="n">
        <x:v>591</x:v>
      </x:c>
      <x:c r="K545" t="str">
        <x:v>Airport</x:v>
      </x:c>
      <x:c r="L545" t="n">
        <x:v>25632</x:v>
      </x:c>
      <x:c r="M545" t="n">
        <x:v>137</x:v>
      </x:c>
      <x:c r="N545" t="str">
        <x:v>Disaster</x:v>
      </x:c>
      <x:c r="O545" t="str">
        <x:v>George Seaton</x:v>
      </x:c>
      <x:c r="P545" t="str">
        <x:v>Universal Pictures</x:v>
      </x:c>
      <x:c r="Q545" t="str">
        <x:v>United States</x:v>
      </x:c>
      <x:c r="R545" t="str">
        <x:v>English</x:v>
      </x:c>
      <x:c r="S545" t="str">
        <x:v>PG</x:v>
      </x:c>
      <x:c r="T545" t="n">
        <x:v>10200000</x:v>
      </x:c>
      <x:c r="U545" t="n">
        <x:v>100500000</x:v>
      </x:c>
      <x:c r="V545" t="n">
        <x:v>10</x:v>
      </x:c>
      <x:c r="W545" t="n">
        <x:v>1</x:v>
      </x:c>
    </x:row>
    <x:row r="546">
      <x:c r="J546" t="n">
        <x:v>592</x:v>
      </x:c>
      <x:c r="K546" t="str">
        <x:v>MASH</x:v>
      </x:c>
      <x:c r="L546" t="n">
        <x:v>25593</x:v>
      </x:c>
      <x:c r="M546" t="n">
        <x:v>116</x:v>
      </x:c>
      <x:c r="N546" t="str">
        <x:v>Comedy</x:v>
      </x:c>
      <x:c r="O546" t="str">
        <x:v>Robert Altman</x:v>
      </x:c>
      <x:c r="P546" t="str">
        <x:v>20th Century Fox</x:v>
      </x:c>
      <x:c r="Q546" t="str">
        <x:v>United States</x:v>
      </x:c>
      <x:c r="R546" t="str">
        <x:v>English</x:v>
      </x:c>
      <x:c r="S546" t="n">
        <x:v>15</x:v>
      </x:c>
      <x:c r="T546"/>
      <x:c r="U546"/>
      <x:c r="V546" t="n">
        <x:v>5</x:v>
      </x:c>
      <x:c r="W546" t="n">
        <x:v>1</x:v>
      </x:c>
    </x:row>
    <x:row r="547">
      <x:c r="J547" t="n">
        <x:v>593</x:v>
      </x:c>
      <x:c r="K547" t="str">
        <x:v>Patton</x:v>
      </x:c>
      <x:c r="L547" t="n">
        <x:v>25660</x:v>
      </x:c>
      <x:c r="M547" t="n">
        <x:v>170</x:v>
      </x:c>
      <x:c r="N547" t="str">
        <x:v>Biography</x:v>
      </x:c>
      <x:c r="O547" t="str">
        <x:v>Franklin J. Schaffner</x:v>
      </x:c>
      <x:c r="P547" t="str">
        <x:v>20th Century Fox</x:v>
      </x:c>
      <x:c r="Q547" t="str">
        <x:v>United States</x:v>
      </x:c>
      <x:c r="R547" t="str">
        <x:v>English</x:v>
      </x:c>
      <x:c r="S547" t="str">
        <x:v>PG</x:v>
      </x:c>
      <x:c r="T547" t="n">
        <x:v>12600000</x:v>
      </x:c>
      <x:c r="U547" t="n">
        <x:v>61800000</x:v>
      </x:c>
      <x:c r="V547" t="n">
        <x:v>10</x:v>
      </x:c>
      <x:c r="W547" t="n">
        <x:v>7</x:v>
      </x:c>
    </x:row>
    <x:row r="548">
      <x:c r="J548" t="n">
        <x:v>598</x:v>
      </x:c>
      <x:c r="K548" t="str">
        <x:v>Tora! Tora! Tora!</x:v>
      </x:c>
      <x:c r="L548" t="n">
        <x:v>25834</x:v>
      </x:c>
      <x:c r="M548" t="n">
        <x:v>144</x:v>
      </x:c>
      <x:c r="N548" t="str">
        <x:v>War</x:v>
      </x:c>
      <x:c r="O548" t="str">
        <x:v>Richard Fleischer</x:v>
      </x:c>
      <x:c r="P548" t="str">
        <x:v>20th Century Fox</x:v>
      </x:c>
      <x:c r="Q548" t="str">
        <x:v>Japan</x:v>
      </x:c>
      <x:c r="R548" t="str">
        <x:v>English</x:v>
      </x:c>
      <x:c r="S548" t="str">
        <x:v>U</x:v>
      </x:c>
      <x:c r="T548" t="n">
        <x:v>25500000</x:v>
      </x:c>
      <x:c r="U548" t="n">
        <x:v>29500000</x:v>
      </x:c>
      <x:c r="V548" t="n">
        <x:v>5</x:v>
      </x:c>
      <x:c r="W548" t="n">
        <x:v>1</x:v>
      </x:c>
    </x:row>
    <x:row r="549">
      <x:c r="J549" t="n">
        <x:v>600</x:v>
      </x:c>
      <x:c r="K549" t="str">
        <x:v>Butch Cassidy and the Sundance Kid</x:v>
      </x:c>
      <x:c r="L549" t="n">
        <x:v>25500</x:v>
      </x:c>
      <x:c r="M549" t="n">
        <x:v>110</x:v>
      </x:c>
      <x:c r="N549" t="str">
        <x:v>Western</x:v>
      </x:c>
      <x:c r="O549" t="str">
        <x:v>George Roy Hill</x:v>
      </x:c>
      <x:c r="P549" t="str">
        <x:v>20th Century Fox</x:v>
      </x:c>
      <x:c r="Q549" t="str">
        <x:v>United States</x:v>
      </x:c>
      <x:c r="R549" t="str">
        <x:v>English</x:v>
      </x:c>
      <x:c r="S549" t="str">
        <x:v>PG</x:v>
      </x:c>
      <x:c r="T549" t="n">
        <x:v>6000000</x:v>
      </x:c>
      <x:c r="U549" t="n">
        <x:v>102300000</x:v>
      </x:c>
      <x:c r="V549" t="n">
        <x:v>7</x:v>
      </x:c>
      <x:c r="W549" t="n">
        <x:v>4</x:v>
      </x:c>
    </x:row>
    <x:row r="550">
      <x:c r="J550" t="n">
        <x:v>601</x:v>
      </x:c>
      <x:c r="K550" t="str">
        <x:v>Midnight Cowboy</x:v>
      </x:c>
      <x:c r="L550" t="n">
        <x:v>25348</x:v>
      </x:c>
      <x:c r="M550" t="n">
        <x:v>113</x:v>
      </x:c>
      <x:c r="N550" t="str">
        <x:v>Drama</x:v>
      </x:c>
      <x:c r="O550" t="str">
        <x:v>John Schlesinger</x:v>
      </x:c>
      <x:c r="P550" t="str">
        <x:v>United Artists</x:v>
      </x:c>
      <x:c r="Q550" t="str">
        <x:v>United States</x:v>
      </x:c>
      <x:c r="R550" t="str">
        <x:v>English</x:v>
      </x:c>
      <x:c r="S550" t="n">
        <x:v>18</x:v>
      </x:c>
      <x:c r="T550" t="n">
        <x:v>3200000</x:v>
      </x:c>
      <x:c r="U550" t="n">
        <x:v>44800000</x:v>
      </x:c>
      <x:c r="V550" t="n">
        <x:v>7</x:v>
      </x:c>
      <x:c r="W550" t="n">
        <x:v>3</x:v>
      </x:c>
    </x:row>
    <x:row r="551">
      <x:c r="J551" t="n">
        <x:v>602</x:v>
      </x:c>
      <x:c r="K551" t="str">
        <x:v>Easy Rider</x:v>
      </x:c>
      <x:c r="L551" t="n">
        <x:v>25398</x:v>
      </x:c>
      <x:c r="M551" t="n">
        <x:v>95</x:v>
      </x:c>
      <x:c r="N551" t="str">
        <x:v>Drama</x:v>
      </x:c>
      <x:c r="O551" t="str">
        <x:v>Dennis Hopper</x:v>
      </x:c>
      <x:c r="P551" t="str">
        <x:v>Columbia Pictures</x:v>
      </x:c>
      <x:c r="Q551" t="str">
        <x:v>United States</x:v>
      </x:c>
      <x:c r="R551" t="str">
        <x:v>English</x:v>
      </x:c>
      <x:c r="S551" t="n">
        <x:v>18</x:v>
      </x:c>
      <x:c r="T551" t="n">
        <x:v>360000</x:v>
      </x:c>
      <x:c r="U551" t="n">
        <x:v>60000000</x:v>
      </x:c>
      <x:c r="V551" t="n">
        <x:v>2</x:v>
      </x:c>
      <x:c r="W551" t="n">
        <x:v>0</x:v>
      </x:c>
    </x:row>
    <x:row r="552">
      <x:c r="J552" t="n">
        <x:v>605</x:v>
      </x:c>
      <x:c r="K552" t="str">
        <x:v>Paint Your Wagon</x:v>
      </x:c>
      <x:c r="L552" t="n">
        <x:v>25491</x:v>
      </x:c>
      <x:c r="M552" t="n">
        <x:v>154</x:v>
      </x:c>
      <x:c r="N552" t="str">
        <x:v>Musical</x:v>
      </x:c>
      <x:c r="O552" t="str">
        <x:v>Joshua Logan</x:v>
      </x:c>
      <x:c r="P552" t="str">
        <x:v>The Malpaso Company</x:v>
      </x:c>
      <x:c r="Q552" t="str">
        <x:v>United States</x:v>
      </x:c>
      <x:c r="R552" t="str">
        <x:v>English</x:v>
      </x:c>
      <x:c r="S552" t="str">
        <x:v>PG</x:v>
      </x:c>
      <x:c r="T552" t="n">
        <x:v>20000000</x:v>
      </x:c>
      <x:c r="U552" t="n">
        <x:v>31678778</x:v>
      </x:c>
      <x:c r="V552" t="n">
        <x:v>1</x:v>
      </x:c>
      <x:c r="W552" t="n">
        <x:v>0</x:v>
      </x:c>
    </x:row>
    <x:row r="553">
      <x:c r="J553" t="n">
        <x:v>606</x:v>
      </x:c>
      <x:c r="K553" t="str">
        <x:v>True Grit</x:v>
      </x:c>
      <x:c r="L553" t="n">
        <x:v>25365</x:v>
      </x:c>
      <x:c r="M553" t="n">
        <x:v>128</x:v>
      </x:c>
      <x:c r="N553" t="str">
        <x:v>Western</x:v>
      </x:c>
      <x:c r="O553" t="str">
        <x:v>Henry Hathaway</x:v>
      </x:c>
      <x:c r="P553" t="str">
        <x:v>Paramount Pictures</x:v>
      </x:c>
      <x:c r="Q553" t="str">
        <x:v>United States</x:v>
      </x:c>
      <x:c r="R553" t="str">
        <x:v>English</x:v>
      </x:c>
      <x:c r="S553" t="str">
        <x:v>U</x:v>
      </x:c>
      <x:c r="T553"/>
      <x:c r="U553" t="n">
        <x:v>43700000</x:v>
      </x:c>
      <x:c r="V553" t="n">
        <x:v>2</x:v>
      </x:c>
      <x:c r="W553" t="n">
        <x:v>1</x:v>
      </x:c>
    </x:row>
    <x:row r="554">
      <x:c r="J554" t="n">
        <x:v>609</x:v>
      </x:c>
      <x:c r="K554" t="str">
        <x:v>2001: A Space Odyssey</x:v>
      </x:c>
      <x:c r="L554" t="n">
        <x:v>24931</x:v>
      </x:c>
      <x:c r="M554" t="n">
        <x:v>142</x:v>
      </x:c>
      <x:c r="N554" t="str">
        <x:v>Science Fiction</x:v>
      </x:c>
      <x:c r="O554" t="str">
        <x:v>Stanley Kubrick</x:v>
      </x:c>
      <x:c r="P554" t="str">
        <x:v>Stanley Kubrick Productions</x:v>
      </x:c>
      <x:c r="Q554" t="str">
        <x:v>United Kingdom</x:v>
      </x:c>
      <x:c r="R554" t="str">
        <x:v>English</x:v>
      </x:c>
      <x:c r="S554" t="str">
        <x:v>U</x:v>
      </x:c>
      <x:c r="T554" t="n">
        <x:v>12000000</x:v>
      </x:c>
      <x:c r="U554" t="n">
        <x:v>190000000</x:v>
      </x:c>
      <x:c r="V554" t="n">
        <x:v>4</x:v>
      </x:c>
      <x:c r="W554" t="n">
        <x:v>1</x:v>
      </x:c>
    </x:row>
    <x:row r="555">
      <x:c r="J555" t="n">
        <x:v>611</x:v>
      </x:c>
      <x:c r="K555" t="str">
        <x:v>The Love Bug</x:v>
      </x:c>
      <x:c r="L555" t="n">
        <x:v>25196</x:v>
      </x:c>
      <x:c r="M555" t="n">
        <x:v>108</x:v>
      </x:c>
      <x:c r="N555" t="str">
        <x:v>Comedy</x:v>
      </x:c>
      <x:c r="O555" t="str">
        <x:v>Robert Stevenson</x:v>
      </x:c>
      <x:c r="P555" t="str">
        <x:v>Walt Disney Pictures</x:v>
      </x:c>
      <x:c r="Q555" t="str">
        <x:v>United States</x:v>
      </x:c>
      <x:c r="R555" t="str">
        <x:v>English</x:v>
      </x:c>
      <x:c r="S555" t="str">
        <x:v>U</x:v>
      </x:c>
      <x:c r="T555" t="n">
        <x:v>5000000</x:v>
      </x:c>
      <x:c r="U555" t="n">
        <x:v>51264000</x:v>
      </x:c>
      <x:c r="V555" t="n">
        <x:v>0</x:v>
      </x:c>
      <x:c r="W555" t="n">
        <x:v>0</x:v>
      </x:c>
    </x:row>
    <x:row r="556">
      <x:c r="J556" t="n">
        <x:v>612</x:v>
      </x:c>
      <x:c r="K556" t="str">
        <x:v>The Odd Couple</x:v>
      </x:c>
      <x:c r="L556" t="n">
        <x:v>24960</x:v>
      </x:c>
      <x:c r="M556" t="n">
        <x:v>105</x:v>
      </x:c>
      <x:c r="N556" t="str">
        <x:v>Comedy</x:v>
      </x:c>
      <x:c r="O556" t="str">
        <x:v>Gene Saks</x:v>
      </x:c>
      <x:c r="P556" t="str">
        <x:v>Paramount Pictures</x:v>
      </x:c>
      <x:c r="Q556" t="str">
        <x:v>United States</x:v>
      </x:c>
      <x:c r="R556" t="str">
        <x:v>English</x:v>
      </x:c>
      <x:c r="S556" t="str">
        <x:v>PG</x:v>
      </x:c>
      <x:c r="T556" t="n">
        <x:v>1200000</x:v>
      </x:c>
      <x:c r="U556" t="n">
        <x:v>44527234</x:v>
      </x:c>
      <x:c r="V556" t="n">
        <x:v>2</x:v>
      </x:c>
      <x:c r="W556" t="n">
        <x:v>0</x:v>
      </x:c>
    </x:row>
    <x:row r="557">
      <x:c r="J557" t="n">
        <x:v>613</x:v>
      </x:c>
      <x:c r="K557" t="str">
        <x:v>Bullitt</x:v>
      </x:c>
      <x:c r="L557" t="n">
        <x:v>25128</x:v>
      </x:c>
      <x:c r="M557" t="n">
        <x:v>113</x:v>
      </x:c>
      <x:c r="N557" t="str">
        <x:v>Crime</x:v>
      </x:c>
      <x:c r="O557" t="str">
        <x:v>Peter Yates</x:v>
      </x:c>
      <x:c r="P557" t="str">
        <x:v>Warner Bros. Pictures</x:v>
      </x:c>
      <x:c r="Q557" t="str">
        <x:v>United States</x:v>
      </x:c>
      <x:c r="R557" t="str">
        <x:v>English</x:v>
      </x:c>
      <x:c r="S557" t="n">
        <x:v>15</x:v>
      </x:c>
      <x:c r="T557" t="n">
        <x:v>5500000</x:v>
      </x:c>
      <x:c r="U557" t="n">
        <x:v>42300000</x:v>
      </x:c>
      <x:c r="V557" t="n">
        <x:v>2</x:v>
      </x:c>
      <x:c r="W557" t="n">
        <x:v>1</x:v>
      </x:c>
    </x:row>
    <x:row r="558">
      <x:c r="J558" t="n">
        <x:v>614</x:v>
      </x:c>
      <x:c r="K558" t="str">
        <x:v>Romeo and Juliet</x:v>
      </x:c>
      <x:c r="L558" t="n">
        <x:v>25119</x:v>
      </x:c>
      <x:c r="M558" t="n">
        <x:v>138</x:v>
      </x:c>
      <x:c r="N558" t="str">
        <x:v>Romance</x:v>
      </x:c>
      <x:c r="O558" t="str">
        <x:v>Franco Zeffirelli</x:v>
      </x:c>
      <x:c r="P558" t="str">
        <x:v>Dino De Laurentiis Corporation</x:v>
      </x:c>
      <x:c r="Q558" t="str">
        <x:v>United Kingdom</x:v>
      </x:c>
      <x:c r="R558" t="str">
        <x:v>English</x:v>
      </x:c>
      <x:c r="S558" t="str">
        <x:v>PG</x:v>
      </x:c>
      <x:c r="T558" t="n">
        <x:v>850000</x:v>
      </x:c>
      <x:c r="U558" t="n">
        <x:v>38900000</x:v>
      </x:c>
      <x:c r="V558" t="n">
        <x:v>4</x:v>
      </x:c>
      <x:c r="W558" t="n">
        <x:v>2</x:v>
      </x:c>
    </x:row>
    <x:row r="559">
      <x:c r="J559" t="n">
        <x:v>615</x:v>
      </x:c>
      <x:c r="K559" t="str">
        <x:v>Oliver!</x:v>
      </x:c>
      <x:c r="L559" t="n">
        <x:v>25107</x:v>
      </x:c>
      <x:c r="M559" t="n">
        <x:v>153</x:v>
      </x:c>
      <x:c r="N559" t="str">
        <x:v>Musical</x:v>
      </x:c>
      <x:c r="O559" t="str">
        <x:v>Carol Reed</x:v>
      </x:c>
      <x:c r="P559" t="str">
        <x:v>Columbia Pictures</x:v>
      </x:c>
      <x:c r="Q559" t="str">
        <x:v>United Kingdom</x:v>
      </x:c>
      <x:c r="R559" t="str">
        <x:v>English</x:v>
      </x:c>
      <x:c r="S559" t="str">
        <x:v>U</x:v>
      </x:c>
      <x:c r="T559" t="n">
        <x:v>10000000</x:v>
      </x:c>
      <x:c r="U559" t="n">
        <x:v>77400000</x:v>
      </x:c>
      <x:c r="V559" t="n">
        <x:v>11</x:v>
      </x:c>
      <x:c r="W559" t="n">
        <x:v>5</x:v>
      </x:c>
    </x:row>
    <x:row r="560">
      <x:c r="J560" t="n">
        <x:v>617</x:v>
      </x:c>
      <x:c r="K560" t="str">
        <x:v>Planet of the Apes</x:v>
      </x:c>
      <x:c r="L560" t="n">
        <x:v>24931</x:v>
      </x:c>
      <x:c r="M560" t="n">
        <x:v>112</x:v>
      </x:c>
      <x:c r="N560" t="str">
        <x:v>Science Fiction</x:v>
      </x:c>
      <x:c r="O560" t="str">
        <x:v>Franklin J. Schaffner</x:v>
      </x:c>
      <x:c r="P560" t="str">
        <x:v>20th Century Fox</x:v>
      </x:c>
      <x:c r="Q560" t="str">
        <x:v>United States</x:v>
      </x:c>
      <x:c r="R560" t="str">
        <x:v>English</x:v>
      </x:c>
      <x:c r="S560" t="str">
        <x:v>PG</x:v>
      </x:c>
      <x:c r="T560" t="n">
        <x:v>5800000</x:v>
      </x:c>
      <x:c r="U560" t="n">
        <x:v>33400000</x:v>
      </x:c>
      <x:c r="V560" t="n">
        <x:v>2</x:v>
      </x:c>
      <x:c r="W560" t="n">
        <x:v>0</x:v>
      </x:c>
    </x:row>
    <x:row r="561">
      <x:c r="J561" t="n">
        <x:v>618</x:v>
      </x:c>
      <x:c r="K561" t="str">
        <x:v>The Graduate</x:v>
      </x:c>
      <x:c r="L561" t="n">
        <x:v>24827</x:v>
      </x:c>
      <x:c r="M561" t="n">
        <x:v>105</x:v>
      </x:c>
      <x:c r="N561" t="str">
        <x:v>Comedy</x:v>
      </x:c>
      <x:c r="O561" t="str">
        <x:v>Mike Nichols</x:v>
      </x:c>
      <x:c r="P561" t="str">
        <x:v>United Artists</x:v>
      </x:c>
      <x:c r="Q561" t="str">
        <x:v>United States</x:v>
      </x:c>
      <x:c r="R561" t="str">
        <x:v>English</x:v>
      </x:c>
      <x:c r="S561" t="n">
        <x:v>15</x:v>
      </x:c>
      <x:c r="T561" t="n">
        <x:v>3000000</x:v>
      </x:c>
      <x:c r="U561" t="n">
        <x:v>104900000</x:v>
      </x:c>
      <x:c r="V561" t="n">
        <x:v>7</x:v>
      </x:c>
      <x:c r="W561" t="n">
        <x:v>1</x:v>
      </x:c>
    </x:row>
    <x:row r="562">
      <x:c r="J562" t="n">
        <x:v>619</x:v>
      </x:c>
      <x:c r="K562" t="str">
        <x:v>The Jungle Book</x:v>
      </x:c>
      <x:c r="L562" t="n">
        <x:v>24763</x:v>
      </x:c>
      <x:c r="M562" t="n">
        <x:v>78</x:v>
      </x:c>
      <x:c r="N562" t="str">
        <x:v>Animation</x:v>
      </x:c>
      <x:c r="O562" t="str">
        <x:v>Wolfgang Reitherman</x:v>
      </x:c>
      <x:c r="P562" t="str">
        <x:v>Walt Disney Pictures</x:v>
      </x:c>
      <x:c r="Q562" t="str">
        <x:v>United States</x:v>
      </x:c>
      <x:c r="R562" t="str">
        <x:v>English</x:v>
      </x:c>
      <x:c r="S562" t="str">
        <x:v>U</x:v>
      </x:c>
      <x:c r="T562" t="n">
        <x:v>4000000</x:v>
      </x:c>
      <x:c r="U562" t="n">
        <x:v>205800000</x:v>
      </x:c>
      <x:c r="V562" t="n">
        <x:v>1</x:v>
      </x:c>
      <x:c r="W562" t="n">
        <x:v>0</x:v>
      </x:c>
    </x:row>
    <x:row r="563">
      <x:c r="J563" t="n">
        <x:v>621</x:v>
      </x:c>
      <x:c r="K563" t="str">
        <x:v>Bonnie and Clyde</x:v>
      </x:c>
      <x:c r="L563" t="n">
        <x:v>24697</x:v>
      </x:c>
      <x:c r="M563" t="n">
        <x:v>111</x:v>
      </x:c>
      <x:c r="N563" t="str">
        <x:v>Crime</x:v>
      </x:c>
      <x:c r="O563" t="str">
        <x:v>Arthur Penn</x:v>
      </x:c>
      <x:c r="P563" t="str">
        <x:v>Warner Bros. Pictures</x:v>
      </x:c>
      <x:c r="Q563" t="str">
        <x:v>United States</x:v>
      </x:c>
      <x:c r="R563" t="str">
        <x:v>English</x:v>
      </x:c>
      <x:c r="S563" t="n">
        <x:v>18</x:v>
      </x:c>
      <x:c r="T563" t="n">
        <x:v>2500000</x:v>
      </x:c>
      <x:c r="U563" t="n">
        <x:v>70000000</x:v>
      </x:c>
      <x:c r="V563" t="n">
        <x:v>10</x:v>
      </x:c>
      <x:c r="W563" t="n">
        <x:v>2</x:v>
      </x:c>
    </x:row>
    <x:row r="564">
      <x:c r="J564" t="n">
        <x:v>622</x:v>
      </x:c>
      <x:c r="K564" t="str">
        <x:v>The Dirty Dozen</x:v>
      </x:c>
      <x:c r="L564" t="n">
        <x:v>24638</x:v>
      </x:c>
      <x:c r="M564" t="n">
        <x:v>150</x:v>
      </x:c>
      <x:c r="N564" t="str">
        <x:v>War</x:v>
      </x:c>
      <x:c r="O564" t="str">
        <x:v>Robert Aldrich</x:v>
      </x:c>
      <x:c r="P564" t="str">
        <x:v>Metro-Goldwyn-Mayer</x:v>
      </x:c>
      <x:c r="Q564" t="str">
        <x:v>United States</x:v>
      </x:c>
      <x:c r="R564" t="str">
        <x:v>English</x:v>
      </x:c>
      <x:c r="S564" t="n">
        <x:v>15</x:v>
      </x:c>
      <x:c r="T564" t="n">
        <x:v>5400000</x:v>
      </x:c>
      <x:c r="U564" t="n">
        <x:v>45300000</x:v>
      </x:c>
      <x:c r="V564" t="n">
        <x:v>4</x:v>
      </x:c>
      <x:c r="W564" t="n">
        <x:v>1</x:v>
      </x:c>
    </x:row>
    <x:row r="565">
      <x:c r="J565" t="n">
        <x:v>627</x:v>
      </x:c>
      <x:c r="K565" t="str">
        <x:v>Night of the Living Dead</x:v>
      </x:c>
      <x:c r="L565" t="n">
        <x:v>25112</x:v>
      </x:c>
      <x:c r="M565" t="n">
        <x:v>96</x:v>
      </x:c>
      <x:c r="N565" t="str">
        <x:v>Horror</x:v>
      </x:c>
      <x:c r="O565" t="str">
        <x:v>George A. Romero</x:v>
      </x:c>
      <x:c r="P565" t="str">
        <x:v>Laurel Group</x:v>
      </x:c>
      <x:c r="Q565" t="str">
        <x:v>United States</x:v>
      </x:c>
      <x:c r="R565" t="str">
        <x:v>English</x:v>
      </x:c>
      <x:c r="S565" t="n">
        <x:v>15</x:v>
      </x:c>
      <x:c r="T565" t="n">
        <x:v>114000</x:v>
      </x:c>
      <x:c r="U565" t="n">
        <x:v>30000000</x:v>
      </x:c>
      <x:c r="V565" t="n">
        <x:v>0</x:v>
      </x:c>
      <x:c r="W565" t="n">
        <x:v>0</x:v>
      </x:c>
    </x:row>
    <x:row r="566">
      <x:c r="J566" t="n">
        <x:v>633</x:v>
      </x:c>
      <x:c r="K566" t="str">
        <x:v>The Good, the Bad and the Ugly</x:v>
      </x:c>
      <x:c r="L566" t="n">
        <x:v>24456</x:v>
      </x:c>
      <x:c r="M566" t="n">
        <x:v>177</x:v>
      </x:c>
      <x:c r="N566" t="str">
        <x:v>Western</x:v>
      </x:c>
      <x:c r="O566" t="str">
        <x:v>Sergio Leone</x:v>
      </x:c>
      <x:c r="P566" t="str">
        <x:v>Constantin Film</x:v>
      </x:c>
      <x:c r="Q566" t="str">
        <x:v>Italy</x:v>
      </x:c>
      <x:c r="R566" t="str">
        <x:v>Italian</x:v>
      </x:c>
      <x:c r="S566" t="n">
        <x:v>18</x:v>
      </x:c>
      <x:c r="T566" t="n">
        <x:v>1200000</x:v>
      </x:c>
      <x:c r="U566" t="n">
        <x:v>25100000</x:v>
      </x:c>
      <x:c r="V566" t="n">
        <x:v>0</x:v>
      </x:c>
      <x:c r="W566" t="n">
        <x:v>0</x:v>
      </x:c>
    </x:row>
    <x:row r="567">
      <x:c r="J567" t="n">
        <x:v>636</x:v>
      </x:c>
      <x:c r="K567" t="str">
        <x:v>Grand Prix</x:v>
      </x:c>
      <x:c r="L567" t="n">
        <x:v>24462</x:v>
      </x:c>
      <x:c r="M567" t="n">
        <x:v>179</x:v>
      </x:c>
      <x:c r="N567" t="str">
        <x:v>Sport</x:v>
      </x:c>
      <x:c r="O567" t="str">
        <x:v>John Frankenheimer</x:v>
      </x:c>
      <x:c r="P567" t="str">
        <x:v>Metro-Goldwyn-Mayer</x:v>
      </x:c>
      <x:c r="Q567" t="str">
        <x:v>United States</x:v>
      </x:c>
      <x:c r="R567" t="str">
        <x:v>English</x:v>
      </x:c>
      <x:c r="S567" t="str">
        <x:v>PG</x:v>
      </x:c>
      <x:c r="T567" t="n">
        <x:v>9000000</x:v>
      </x:c>
      <x:c r="U567" t="n">
        <x:v>20800000</x:v>
      </x:c>
      <x:c r="V567" t="n">
        <x:v>3</x:v>
      </x:c>
      <x:c r="W567" t="n">
        <x:v>3</x:v>
      </x:c>
    </x:row>
    <x:row r="568">
      <x:c r="J568" t="n">
        <x:v>638</x:v>
      </x:c>
      <x:c r="K568" t="str">
        <x:v>The Sound of Music</x:v>
      </x:c>
      <x:c r="L568" t="n">
        <x:v>23803</x:v>
      </x:c>
      <x:c r="M568" t="n">
        <x:v>174</x:v>
      </x:c>
      <x:c r="N568" t="str">
        <x:v>Musical</x:v>
      </x:c>
      <x:c r="O568" t="str">
        <x:v>Robert Wise</x:v>
      </x:c>
      <x:c r="P568" t="str">
        <x:v>20th Century Fox</x:v>
      </x:c>
      <x:c r="Q568" t="str">
        <x:v>United States</x:v>
      </x:c>
      <x:c r="R568" t="str">
        <x:v>English</x:v>
      </x:c>
      <x:c r="S568" t="str">
        <x:v>U</x:v>
      </x:c>
      <x:c r="T568" t="n">
        <x:v>8200000</x:v>
      </x:c>
      <x:c r="U568" t="n">
        <x:v>286200000</x:v>
      </x:c>
      <x:c r="V568" t="n">
        <x:v>10</x:v>
      </x:c>
      <x:c r="W568" t="n">
        <x:v>5</x:v>
      </x:c>
    </x:row>
    <x:row r="569">
      <x:c r="J569" t="n">
        <x:v>639</x:v>
      </x:c>
      <x:c r="K569" t="str">
        <x:v>Doctor Zhivago</x:v>
      </x:c>
      <x:c r="L569" t="n">
        <x:v>24098</x:v>
      </x:c>
      <x:c r="M569" t="n">
        <x:v>193</x:v>
      </x:c>
      <x:c r="N569" t="str">
        <x:v>Romance</x:v>
      </x:c>
      <x:c r="O569" t="str">
        <x:v>David Lean</x:v>
      </x:c>
      <x:c r="P569" t="str">
        <x:v>Metro-Goldwyn-Mayer</x:v>
      </x:c>
      <x:c r="Q569" t="str">
        <x:v>United Kingdom</x:v>
      </x:c>
      <x:c r="R569" t="str">
        <x:v>English</x:v>
      </x:c>
      <x:c r="S569" t="n">
        <x:v>15</x:v>
      </x:c>
      <x:c r="T569" t="n">
        <x:v>11000000</x:v>
      </x:c>
      <x:c r="U569" t="n">
        <x:v>111700000</x:v>
      </x:c>
      <x:c r="V569" t="n">
        <x:v>10</x:v>
      </x:c>
      <x:c r="W569" t="n">
        <x:v>5</x:v>
      </x:c>
    </x:row>
    <x:row r="570">
      <x:c r="J570" t="n">
        <x:v>644</x:v>
      </x:c>
      <x:c r="K570" t="str">
        <x:v>What's New Pussycat?</x:v>
      </x:c>
      <x:c r="L570" t="n">
        <x:v>23915</x:v>
      </x:c>
      <x:c r="M570" t="n">
        <x:v>108</x:v>
      </x:c>
      <x:c r="N570" t="str">
        <x:v>Comedy</x:v>
      </x:c>
      <x:c r="O570" t="str">
        <x:v>Clive Donner</x:v>
      </x:c>
      <x:c r="P570" t="str">
        <x:v>United Artists</x:v>
      </x:c>
      <x:c r="Q570" t="str">
        <x:v>United States</x:v>
      </x:c>
      <x:c r="R570" t="str">
        <x:v>English</x:v>
      </x:c>
      <x:c r="S570" t="n">
        <x:v>15</x:v>
      </x:c>
      <x:c r="T570"/>
      <x:c r="U570" t="n">
        <x:v>18820000</x:v>
      </x:c>
      <x:c r="V570" t="n">
        <x:v>1</x:v>
      </x:c>
      <x:c r="W570" t="n">
        <x:v>0</x:v>
      </x:c>
    </x:row>
    <x:row r="571">
      <x:c r="J571" t="n">
        <x:v>646</x:v>
      </x:c>
      <x:c r="K571" t="str">
        <x:v>Von Ryan's Express</x:v>
      </x:c>
      <x:c r="L571" t="n">
        <x:v>23916</x:v>
      </x:c>
      <x:c r="M571" t="n">
        <x:v>117</x:v>
      </x:c>
      <x:c r="N571" t="str">
        <x:v>War</x:v>
      </x:c>
      <x:c r="O571" t="str">
        <x:v>Mark Robson</x:v>
      </x:c>
      <x:c r="P571" t="str">
        <x:v>20th Century Fox</x:v>
      </x:c>
      <x:c r="Q571" t="str">
        <x:v>United States</x:v>
      </x:c>
      <x:c r="R571" t="str">
        <x:v>English</x:v>
      </x:c>
      <x:c r="S571" t="str">
        <x:v>PG</x:v>
      </x:c>
      <x:c r="T571" t="n">
        <x:v>5760000</x:v>
      </x:c>
      <x:c r="U571" t="n">
        <x:v>17111111</x:v>
      </x:c>
      <x:c r="V571" t="n">
        <x:v>1</x:v>
      </x:c>
      <x:c r="W571" t="n">
        <x:v>0</x:v>
      </x:c>
    </x:row>
    <x:row r="572">
      <x:c r="J572" t="n">
        <x:v>647</x:v>
      </x:c>
      <x:c r="K572" t="str">
        <x:v>Mary Poppins</x:v>
      </x:c>
      <x:c r="L572" t="n">
        <x:v>23616</x:v>
      </x:c>
      <x:c r="M572" t="n">
        <x:v>139</x:v>
      </x:c>
      <x:c r="N572" t="str">
        <x:v>Musical</x:v>
      </x:c>
      <x:c r="O572" t="str">
        <x:v>Robert Stevenson</x:v>
      </x:c>
      <x:c r="P572" t="str">
        <x:v>Walt Disney Pictures</x:v>
      </x:c>
      <x:c r="Q572" t="str">
        <x:v>United States</x:v>
      </x:c>
      <x:c r="R572" t="str">
        <x:v>English</x:v>
      </x:c>
      <x:c r="S572" t="str">
        <x:v>U</x:v>
      </x:c>
      <x:c r="T572"/>
      <x:c r="U572" t="n">
        <x:v>102300000</x:v>
      </x:c>
      <x:c r="V572" t="n">
        <x:v>13</x:v>
      </x:c>
      <x:c r="W572" t="n">
        <x:v>5</x:v>
      </x:c>
    </x:row>
    <x:row r="573">
      <x:c r="J573" t="n">
        <x:v>648</x:v>
      </x:c>
      <x:c r="K573" t="str">
        <x:v>My Fair Lady</x:v>
      </x:c>
      <x:c r="L573" t="n">
        <x:v>23690</x:v>
      </x:c>
      <x:c r="M573" t="n">
        <x:v>170</x:v>
      </x:c>
      <x:c r="N573" t="str">
        <x:v>Musical</x:v>
      </x:c>
      <x:c r="O573" t="str">
        <x:v>George Cukor</x:v>
      </x:c>
      <x:c r="P573" t="str">
        <x:v>Warner Bros. Pictures</x:v>
      </x:c>
      <x:c r="Q573" t="str">
        <x:v>United States</x:v>
      </x:c>
      <x:c r="R573" t="str">
        <x:v>English</x:v>
      </x:c>
      <x:c r="S573" t="str">
        <x:v>U</x:v>
      </x:c>
      <x:c r="T573" t="n">
        <x:v>17000000</x:v>
      </x:c>
      <x:c r="U573" t="n">
        <x:v>72000000</x:v>
      </x:c>
      <x:c r="V573" t="n">
        <x:v>12</x:v>
      </x:c>
      <x:c r="W573" t="n">
        <x:v>8</x:v>
      </x:c>
    </x:row>
    <x:row r="574">
      <x:c r="J574" t="n">
        <x:v>650</x:v>
      </x:c>
      <x:c r="K574" t="str">
        <x:v>A Fistful of Dollars</x:v>
      </x:c>
      <x:c r="L574" t="n">
        <x:v>23632</x:v>
      </x:c>
      <x:c r="M574" t="n">
        <x:v>99</x:v>
      </x:c>
      <x:c r="N574" t="str">
        <x:v>Western</x:v>
      </x:c>
      <x:c r="O574" t="str">
        <x:v>Sergio Leone</x:v>
      </x:c>
      <x:c r="P574" t="str">
        <x:v>Constantin Film</x:v>
      </x:c>
      <x:c r="Q574" t="str">
        <x:v>Italy</x:v>
      </x:c>
      <x:c r="R574" t="str">
        <x:v>Italian</x:v>
      </x:c>
      <x:c r="S574" t="n">
        <x:v>15</x:v>
      </x:c>
      <x:c r="T574" t="n">
        <x:v>225000</x:v>
      </x:c>
      <x:c r="U574" t="n">
        <x:v>14500000</x:v>
      </x:c>
      <x:c r="V574" t="n">
        <x:v>0</x:v>
      </x:c>
      <x:c r="W574" t="n">
        <x:v>0</x:v>
      </x:c>
    </x:row>
    <x:row r="575">
      <x:c r="J575" t="n">
        <x:v>652</x:v>
      </x:c>
      <x:c r="K575" t="str">
        <x:v>A Shot in the Dark</x:v>
      </x:c>
      <x:c r="L575" t="n">
        <x:v>23551</x:v>
      </x:c>
      <x:c r="M575" t="n">
        <x:v>102</x:v>
      </x:c>
      <x:c r="N575" t="str">
        <x:v>Comedy</x:v>
      </x:c>
      <x:c r="O575" t="str">
        <x:v>Blake Edwards</x:v>
      </x:c>
      <x:c r="P575" t="str">
        <x:v>The Mirisch Production Company</x:v>
      </x:c>
      <x:c r="Q575" t="str">
        <x:v>United Kingdom</x:v>
      </x:c>
      <x:c r="R575" t="str">
        <x:v>English</x:v>
      </x:c>
      <x:c r="S575" t="str">
        <x:v>PG</x:v>
      </x:c>
      <x:c r="T575"/>
      <x:c r="U575" t="n">
        <x:v>12368234</x:v>
      </x:c>
      <x:c r="V575" t="n">
        <x:v>0</x:v>
      </x:c>
      <x:c r="W575" t="n">
        <x:v>0</x:v>
      </x:c>
    </x:row>
    <x:row r="576">
      <x:c r="J576" t="n">
        <x:v>653</x:v>
      </x:c>
      <x:c r="K576" t="str">
        <x:v>A Hard Day's Night</x:v>
      </x:c>
      <x:c r="L576" t="n">
        <x:v>23564</x:v>
      </x:c>
      <x:c r="M576" t="n">
        <x:v>87</x:v>
      </x:c>
      <x:c r="N576" t="str">
        <x:v>Musical</x:v>
      </x:c>
      <x:c r="O576" t="str">
        <x:v>Richard Lester</x:v>
      </x:c>
      <x:c r="P576" t="str">
        <x:v>United Artists</x:v>
      </x:c>
      <x:c r="Q576" t="str">
        <x:v>United Kingdom</x:v>
      </x:c>
      <x:c r="R576" t="str">
        <x:v>English</x:v>
      </x:c>
      <x:c r="S576" t="str">
        <x:v>U</x:v>
      </x:c>
      <x:c r="T576" t="n">
        <x:v>200000</x:v>
      </x:c>
      <x:c r="U576" t="n">
        <x:v>12299668</x:v>
      </x:c>
      <x:c r="V576" t="n">
        <x:v>2</x:v>
      </x:c>
      <x:c r="W576" t="n">
        <x:v>0</x:v>
      </x:c>
    </x:row>
    <x:row r="577">
      <x:c r="J577" t="n">
        <x:v>655</x:v>
      </x:c>
      <x:c r="K577" t="str">
        <x:v>Cleopatra</x:v>
      </x:c>
      <x:c r="L577" t="n">
        <x:v>23174</x:v>
      </x:c>
      <x:c r="M577" t="n">
        <x:v>248</x:v>
      </x:c>
      <x:c r="N577" t="str">
        <x:v>History</x:v>
      </x:c>
      <x:c r="O577" t="str">
        <x:v>Joseph L. Mankiewicz</x:v>
      </x:c>
      <x:c r="P577" t="str">
        <x:v>20th Century Fox</x:v>
      </x:c>
      <x:c r="Q577" t="str">
        <x:v>United States</x:v>
      </x:c>
      <x:c r="R577" t="str">
        <x:v>English</x:v>
      </x:c>
      <x:c r="S577" t="str">
        <x:v>PG</x:v>
      </x:c>
      <x:c r="T577" t="n">
        <x:v>31100000</x:v>
      </x:c>
      <x:c r="U577" t="n">
        <x:v>57800000</x:v>
      </x:c>
      <x:c r="V577" t="n">
        <x:v>9</x:v>
      </x:c>
      <x:c r="W577" t="n">
        <x:v>4</x:v>
      </x:c>
    </x:row>
    <x:row r="578">
      <x:c r="J578" t="n">
        <x:v>656</x:v>
      </x:c>
      <x:c r="K578" t="str">
        <x:v>How the West Was Won</x:v>
      </x:c>
      <x:c r="L578" t="n">
        <x:v>23062</x:v>
      </x:c>
      <x:c r="M578" t="n">
        <x:v>164</x:v>
      </x:c>
      <x:c r="N578" t="str">
        <x:v>Western</x:v>
      </x:c>
      <x:c r="O578" t="str">
        <x:v>John Ford</x:v>
      </x:c>
      <x:c r="P578" t="str">
        <x:v>Metro-Goldwyn-Mayer</x:v>
      </x:c>
      <x:c r="Q578" t="str">
        <x:v>United States</x:v>
      </x:c>
      <x:c r="R578" t="str">
        <x:v>English</x:v>
      </x:c>
      <x:c r="S578" t="str">
        <x:v>U</x:v>
      </x:c>
      <x:c r="T578" t="n">
        <x:v>14483000</x:v>
      </x:c>
      <x:c r="U578" t="n">
        <x:v>50000000</x:v>
      </x:c>
      <x:c r="V578" t="n">
        <x:v>8</x:v>
      </x:c>
      <x:c r="W578" t="n">
        <x:v>3</x:v>
      </x:c>
    </x:row>
    <x:row r="579">
      <x:c r="J579" t="n">
        <x:v>657</x:v>
      </x:c>
      <x:c r="K579" t="str">
        <x:v>It's a Mad, Mad, Mad, Mad World</x:v>
      </x:c>
      <x:c r="L579" t="n">
        <x:v>23322</x:v>
      </x:c>
      <x:c r="M579" t="n">
        <x:v>210</x:v>
      </x:c>
      <x:c r="N579" t="str">
        <x:v>Comedy</x:v>
      </x:c>
      <x:c r="O579" t="str">
        <x:v>Stanley Kramer</x:v>
      </x:c>
      <x:c r="P579" t="str">
        <x:v>United Artists</x:v>
      </x:c>
      <x:c r="Q579" t="str">
        <x:v>United States</x:v>
      </x:c>
      <x:c r="R579" t="str">
        <x:v>English</x:v>
      </x:c>
      <x:c r="S579" t="str">
        <x:v>U</x:v>
      </x:c>
      <x:c r="T579" t="n">
        <x:v>9400000</x:v>
      </x:c>
      <x:c r="U579" t="n">
        <x:v>60000000</x:v>
      </x:c>
      <x:c r="V579" t="n">
        <x:v>6</x:v>
      </x:c>
      <x:c r="W579" t="n">
        <x:v>1</x:v>
      </x:c>
    </x:row>
    <x:row r="580">
      <x:c r="J580" t="n">
        <x:v>660</x:v>
      </x:c>
      <x:c r="K580" t="str">
        <x:v>The Sword in the Stone</x:v>
      </x:c>
      <x:c r="L580" t="n">
        <x:v>23370</x:v>
      </x:c>
      <x:c r="M580" t="n">
        <x:v>79</x:v>
      </x:c>
      <x:c r="N580" t="str">
        <x:v>Animation</x:v>
      </x:c>
      <x:c r="O580" t="str">
        <x:v>Wolfgang Reitherman</x:v>
      </x:c>
      <x:c r="P580" t="str">
        <x:v>Walt Disney Pictures</x:v>
      </x:c>
      <x:c r="Q580" t="str">
        <x:v>United States</x:v>
      </x:c>
      <x:c r="R580" t="str">
        <x:v>English</x:v>
      </x:c>
      <x:c r="S580" t="str">
        <x:v>U</x:v>
      </x:c>
      <x:c r="T580" t="n">
        <x:v>3000000</x:v>
      </x:c>
      <x:c r="U580" t="n">
        <x:v>22200000</x:v>
      </x:c>
      <x:c r="V580" t="n">
        <x:v>1</x:v>
      </x:c>
      <x:c r="W580" t="n">
        <x:v>0</x:v>
      </x:c>
    </x:row>
    <x:row r="581">
      <x:c r="J581" t="n">
        <x:v>662</x:v>
      </x:c>
      <x:c r="K581" t="str">
        <x:v>The Birds</x:v>
      </x:c>
      <x:c r="L581" t="n">
        <x:v>23098</x:v>
      </x:c>
      <x:c r="M581" t="n">
        <x:v>119</x:v>
      </x:c>
      <x:c r="N581" t="str">
        <x:v>Horror</x:v>
      </x:c>
      <x:c r="O581" t="str">
        <x:v>Alfred Hitchcock</x:v>
      </x:c>
      <x:c r="P581" t="str">
        <x:v>Alfred J. Hitchcock Productions</x:v>
      </x:c>
      <x:c r="Q581" t="str">
        <x:v>United States</x:v>
      </x:c>
      <x:c r="R581" t="str">
        <x:v>English</x:v>
      </x:c>
      <x:c r="S581" t="n">
        <x:v>15</x:v>
      </x:c>
      <x:c r="T581" t="n">
        <x:v>3300000</x:v>
      </x:c>
      <x:c r="U581" t="n">
        <x:v>11400000</x:v>
      </x:c>
      <x:c r="V581" t="n">
        <x:v>1</x:v>
      </x:c>
      <x:c r="W581" t="n">
        <x:v>0</x:v>
      </x:c>
    </x:row>
    <x:row r="582">
      <x:c r="J582" t="n">
        <x:v>664</x:v>
      </x:c>
      <x:c r="K582" t="str">
        <x:v>Lawrence of Arabia</x:v>
      </x:c>
      <x:c r="L582" t="n">
        <x:v>22990</x:v>
      </x:c>
      <x:c r="M582" t="n">
        <x:v>222</x:v>
      </x:c>
      <x:c r="N582" t="str">
        <x:v>Biography</x:v>
      </x:c>
      <x:c r="O582" t="str">
        <x:v>David Lean</x:v>
      </x:c>
      <x:c r="P582" t="str">
        <x:v>Horizon Pictures</x:v>
      </x:c>
      <x:c r="Q582" t="str">
        <x:v>United Kingdom</x:v>
      </x:c>
      <x:c r="R582" t="str">
        <x:v>English</x:v>
      </x:c>
      <x:c r="S582" t="str">
        <x:v>PG</x:v>
      </x:c>
      <x:c r="T582" t="n">
        <x:v>15000000</x:v>
      </x:c>
      <x:c r="U582" t="n">
        <x:v>70000000</x:v>
      </x:c>
      <x:c r="V582" t="n">
        <x:v>10</x:v>
      </x:c>
      <x:c r="W582" t="n">
        <x:v>7</x:v>
      </x:c>
    </x:row>
    <x:row r="583">
      <x:c r="J583" t="n">
        <x:v>665</x:v>
      </x:c>
      <x:c r="K583" t="str">
        <x:v>The Longest Day</x:v>
      </x:c>
      <x:c r="L583" t="n">
        <x:v>22914</x:v>
      </x:c>
      <x:c r="M583" t="n">
        <x:v>178</x:v>
      </x:c>
      <x:c r="N583" t="str">
        <x:v>War</x:v>
      </x:c>
      <x:c r="O583" t="str">
        <x:v>Ken Annakin</x:v>
      </x:c>
      <x:c r="P583" t="str">
        <x:v>20th Century Fox</x:v>
      </x:c>
      <x:c r="Q583" t="str">
        <x:v>United States</x:v>
      </x:c>
      <x:c r="R583" t="str">
        <x:v>English</x:v>
      </x:c>
      <x:c r="S583" t="str">
        <x:v>PG</x:v>
      </x:c>
      <x:c r="T583" t="n">
        <x:v>7750000</x:v>
      </x:c>
      <x:c r="U583" t="n">
        <x:v>50100000</x:v>
      </x:c>
      <x:c r="V583" t="n">
        <x:v>5</x:v>
      </x:c>
      <x:c r="W583" t="n">
        <x:v>2</x:v>
      </x:c>
    </x:row>
    <x:row r="584">
      <x:c r="J584" t="n">
        <x:v>669</x:v>
      </x:c>
      <x:c r="K584" t="str">
        <x:v>Mutiny on the Bounty</x:v>
      </x:c>
      <x:c r="L584" t="n">
        <x:v>22958</x:v>
      </x:c>
      <x:c r="M584" t="n">
        <x:v>185</x:v>
      </x:c>
      <x:c r="N584" t="str">
        <x:v>History</x:v>
      </x:c>
      <x:c r="O584" t="str">
        <x:v>Lewis Milestone</x:v>
      </x:c>
      <x:c r="P584" t="str">
        <x:v>Metro-Goldwyn-Mayer</x:v>
      </x:c>
      <x:c r="Q584" t="str">
        <x:v>United States</x:v>
      </x:c>
      <x:c r="R584" t="str">
        <x:v>English</x:v>
      </x:c>
      <x:c r="S584" t="n">
        <x:v>15</x:v>
      </x:c>
      <x:c r="T584" t="n">
        <x:v>19000000</x:v>
      </x:c>
      <x:c r="U584" t="n">
        <x:v>13680000</x:v>
      </x:c>
      <x:c r="V584" t="n">
        <x:v>7</x:v>
      </x:c>
      <x:c r="W584" t="n">
        <x:v>0</x:v>
      </x:c>
    </x:row>
    <x:row r="585">
      <x:c r="J585" t="n">
        <x:v>670</x:v>
      </x:c>
      <x:c r="K585" t="str">
        <x:v>To Kill a Mockingbird</x:v>
      </x:c>
      <x:c r="L585" t="n">
        <x:v>23005</x:v>
      </x:c>
      <x:c r="M585" t="n">
        <x:v>129</x:v>
      </x:c>
      <x:c r="N585" t="str">
        <x:v>Drama</x:v>
      </x:c>
      <x:c r="O585" t="str">
        <x:v>Robert Mulligan</x:v>
      </x:c>
      <x:c r="P585" t="str">
        <x:v>Universal Pictures</x:v>
      </x:c>
      <x:c r="Q585" t="str">
        <x:v>United States</x:v>
      </x:c>
      <x:c r="R585" t="str">
        <x:v>English</x:v>
      </x:c>
      <x:c r="S585" t="str">
        <x:v>PG</x:v>
      </x:c>
      <x:c r="T585" t="n">
        <x:v>2000000</x:v>
      </x:c>
      <x:c r="U585" t="n">
        <x:v>13100000</x:v>
      </x:c>
      <x:c r="V585" t="n">
        <x:v>8</x:v>
      </x:c>
      <x:c r="W585" t="n">
        <x:v>3</x:v>
      </x:c>
    </x:row>
    <x:row r="586">
      <x:c r="J586" t="n">
        <x:v>674</x:v>
      </x:c>
      <x:c r="K586" t="str">
        <x:v>West Side Story</x:v>
      </x:c>
      <x:c r="L586" t="n">
        <x:v>22572</x:v>
      </x:c>
      <x:c r="M586" t="n">
        <x:v>152</x:v>
      </x:c>
      <x:c r="N586" t="str">
        <x:v>Musical</x:v>
      </x:c>
      <x:c r="O586" t="str">
        <x:v>Robert Wise</x:v>
      </x:c>
      <x:c r="P586" t="str">
        <x:v>The Mirisch Production Company</x:v>
      </x:c>
      <x:c r="Q586" t="str">
        <x:v>United States</x:v>
      </x:c>
      <x:c r="R586" t="str">
        <x:v>English</x:v>
      </x:c>
      <x:c r="S586" t="str">
        <x:v>PG</x:v>
      </x:c>
      <x:c r="T586" t="n">
        <x:v>6000000</x:v>
      </x:c>
      <x:c r="U586" t="n">
        <x:v>43700000</x:v>
      </x:c>
      <x:c r="V586" t="n">
        <x:v>11</x:v>
      </x:c>
      <x:c r="W586" t="n">
        <x:v>10</x:v>
      </x:c>
    </x:row>
    <x:row r="587">
      <x:c r="J587" t="n">
        <x:v>675</x:v>
      </x:c>
      <x:c r="K587" t="str">
        <x:v>The Guns of Navarone</x:v>
      </x:c>
      <x:c r="L587" t="n">
        <x:v>22398</x:v>
      </x:c>
      <x:c r="M587" t="n">
        <x:v>158</x:v>
      </x:c>
      <x:c r="N587" t="str">
        <x:v>War</x:v>
      </x:c>
      <x:c r="O587" t="str">
        <x:v>J. Lee Thompson</x:v>
      </x:c>
      <x:c r="P587" t="str">
        <x:v>Columbia Pictures</x:v>
      </x:c>
      <x:c r="Q587" t="str">
        <x:v>United Kingdom</x:v>
      </x:c>
      <x:c r="R587" t="str">
        <x:v>English</x:v>
      </x:c>
      <x:c r="S587" t="str">
        <x:v>PG</x:v>
      </x:c>
      <x:c r="T587" t="n">
        <x:v>6000000</x:v>
      </x:c>
      <x:c r="U587" t="n">
        <x:v>28900000</x:v>
      </x:c>
      <x:c r="V587" t="n">
        <x:v>7</x:v>
      </x:c>
      <x:c r="W587" t="n">
        <x:v>1</x:v>
      </x:c>
    </x:row>
    <x:row r="588">
      <x:c r="J588" t="n">
        <x:v>676</x:v>
      </x:c>
      <x:c r="K588" t="str">
        <x:v>El Cid</x:v>
      </x:c>
      <x:c r="L588" t="n">
        <x:v>22621</x:v>
      </x:c>
      <x:c r="M588" t="n">
        <x:v>184</x:v>
      </x:c>
      <x:c r="N588" t="str">
        <x:v>History</x:v>
      </x:c>
      <x:c r="O588" t="str">
        <x:v>Anthony Mann</x:v>
      </x:c>
      <x:c r="P588" t="str">
        <x:v>Samuel Bronston Productions</x:v>
      </x:c>
      <x:c r="Q588" t="str">
        <x:v>United States</x:v>
      </x:c>
      <x:c r="R588" t="str">
        <x:v>English</x:v>
      </x:c>
      <x:c r="S588" t="str">
        <x:v>U</x:v>
      </x:c>
      <x:c r="T588" t="n">
        <x:v>6200000</x:v>
      </x:c>
      <x:c r="U588" t="n">
        <x:v>30000000</x:v>
      </x:c>
      <x:c r="V588" t="n">
        <x:v>3</x:v>
      </x:c>
      <x:c r="W588" t="n">
        <x:v>0</x:v>
      </x:c>
    </x:row>
    <x:row r="589">
      <x:c r="J589" t="n">
        <x:v>677</x:v>
      </x:c>
      <x:c r="K589" t="str">
        <x:v>The Absent-Minded Professor</x:v>
      </x:c>
      <x:c r="L589" t="n">
        <x:v>22356</x:v>
      </x:c>
      <x:c r="M589" t="n">
        <x:v>97</x:v>
      </x:c>
      <x:c r="N589" t="str">
        <x:v>Comedy</x:v>
      </x:c>
      <x:c r="O589" t="str">
        <x:v>Robert Stevenson</x:v>
      </x:c>
      <x:c r="P589" t="str">
        <x:v>Walt Disney Pictures</x:v>
      </x:c>
      <x:c r="Q589" t="str">
        <x:v>United States</x:v>
      </x:c>
      <x:c r="R589" t="str">
        <x:v>English</x:v>
      </x:c>
      <x:c r="S589" t="str">
        <x:v>U</x:v>
      </x:c>
      <x:c r="T589"/>
      <x:c r="U589" t="n">
        <x:v>25400000</x:v>
      </x:c>
      <x:c r="V589" t="n">
        <x:v>3</x:v>
      </x:c>
      <x:c r="W589" t="n">
        <x:v>0</x:v>
      </x:c>
    </x:row>
    <x:row r="590">
      <x:c r="J590" t="n">
        <x:v>678</x:v>
      </x:c>
      <x:c r="K590" t="str">
        <x:v>The Parent Trap</x:v>
      </x:c>
      <x:c r="L590" t="n">
        <x:v>22453</x:v>
      </x:c>
      <x:c r="M590" t="n">
        <x:v>128</x:v>
      </x:c>
      <x:c r="N590" t="str">
        <x:v>Comedy</x:v>
      </x:c>
      <x:c r="O590" t="str">
        <x:v>David Swift</x:v>
      </x:c>
      <x:c r="P590" t="str">
        <x:v>Walt Disney Pictures</x:v>
      </x:c>
      <x:c r="Q590" t="str">
        <x:v>United States</x:v>
      </x:c>
      <x:c r="R590" t="str">
        <x:v>English</x:v>
      </x:c>
      <x:c r="S590" t="str">
        <x:v>U</x:v>
      </x:c>
      <x:c r="T590"/>
      <x:c r="U590" t="n">
        <x:v>25100000</x:v>
      </x:c>
      <x:c r="V590" t="n">
        <x:v>2</x:v>
      </x:c>
      <x:c r="W590" t="n">
        <x:v>0</x:v>
      </x:c>
    </x:row>
    <x:row r="591">
      <x:c r="J591" t="n">
        <x:v>679</x:v>
      </x:c>
      <x:c r="K591" t="str">
        <x:v>La Dolce Vita</x:v>
      </x:c>
      <x:c r="L591" t="n">
        <x:v>21951</x:v>
      </x:c>
      <x:c r="M591" t="n">
        <x:v>174</x:v>
      </x:c>
      <x:c r="N591" t="str">
        <x:v>Comedy</x:v>
      </x:c>
      <x:c r="O591" t="str">
        <x:v>Federico Fellini</x:v>
      </x:c>
      <x:c r="P591" t="str">
        <x:v>Pathe</x:v>
      </x:c>
      <x:c r="Q591" t="str">
        <x:v>Italy</x:v>
      </x:c>
      <x:c r="R591" t="str">
        <x:v>Italian</x:v>
      </x:c>
      <x:c r="S591" t="n">
        <x:v>15</x:v>
      </x:c>
      <x:c r="T591"/>
      <x:c r="U591" t="n">
        <x:v>19500000</x:v>
      </x:c>
      <x:c r="V591" t="n">
        <x:v>4</x:v>
      </x:c>
      <x:c r="W591" t="n">
        <x:v>1</x:v>
      </x:c>
    </x:row>
    <x:row r="592">
      <x:c r="J592" t="n">
        <x:v>682</x:v>
      </x:c>
      <x:c r="K592" t="str">
        <x:v>One Hundred and One Dalmatians</x:v>
      </x:c>
      <x:c r="L592" t="n">
        <x:v>22306</x:v>
      </x:c>
      <x:c r="M592" t="n">
        <x:v>79</x:v>
      </x:c>
      <x:c r="N592" t="str">
        <x:v>Animation</x:v>
      </x:c>
      <x:c r="O592" t="str">
        <x:v>Wolfgang Reitherman</x:v>
      </x:c>
      <x:c r="P592" t="str">
        <x:v>Walt Disney Pictures</x:v>
      </x:c>
      <x:c r="Q592" t="str">
        <x:v>United States</x:v>
      </x:c>
      <x:c r="R592" t="str">
        <x:v>English</x:v>
      </x:c>
      <x:c r="S592" t="str">
        <x:v>U</x:v>
      </x:c>
      <x:c r="T592" t="n">
        <x:v>4000000</x:v>
      </x:c>
      <x:c r="U592" t="n">
        <x:v>215800000</x:v>
      </x:c>
      <x:c r="V592" t="n">
        <x:v>0</x:v>
      </x:c>
      <x:c r="W592" t="n">
        <x:v>0</x:v>
      </x:c>
    </x:row>
    <x:row r="593">
      <x:c r="J593" t="n">
        <x:v>684</x:v>
      </x:c>
      <x:c r="K593" t="str">
        <x:v>Spartacus</x:v>
      </x:c>
      <x:c r="L593" t="n">
        <x:v>22196</x:v>
      </x:c>
      <x:c r="M593" t="n">
        <x:v>184</x:v>
      </x:c>
      <x:c r="N593" t="str">
        <x:v>History</x:v>
      </x:c>
      <x:c r="O593" t="str">
        <x:v>Stanley Kubrick</x:v>
      </x:c>
      <x:c r="P593" t="str">
        <x:v>Bryna Productions</x:v>
      </x:c>
      <x:c r="Q593" t="str">
        <x:v>United States</x:v>
      </x:c>
      <x:c r="R593" t="str">
        <x:v>English</x:v>
      </x:c>
      <x:c r="S593" t="str">
        <x:v>PG</x:v>
      </x:c>
      <x:c r="T593" t="n">
        <x:v>12000000</x:v>
      </x:c>
      <x:c r="U593" t="n">
        <x:v>60000000</x:v>
      </x:c>
      <x:c r="V593" t="n">
        <x:v>6</x:v>
      </x:c>
      <x:c r="W593" t="n">
        <x:v>4</x:v>
      </x:c>
    </x:row>
    <x:row r="594">
      <x:c r="J594" t="n">
        <x:v>685</x:v>
      </x:c>
      <x:c r="K594" t="str">
        <x:v>Psycho</x:v>
      </x:c>
      <x:c r="L594" t="n">
        <x:v>22083</x:v>
      </x:c>
      <x:c r="M594" t="n">
        <x:v>109</x:v>
      </x:c>
      <x:c r="N594" t="str">
        <x:v>Horror</x:v>
      </x:c>
      <x:c r="O594" t="str">
        <x:v>Alfred Hitchcock</x:v>
      </x:c>
      <x:c r="P594" t="str">
        <x:v>Shamley Productions</x:v>
      </x:c>
      <x:c r="Q594" t="str">
        <x:v>United States</x:v>
      </x:c>
      <x:c r="R594" t="str">
        <x:v>English</x:v>
      </x:c>
      <x:c r="S594" t="n">
        <x:v>15</x:v>
      </x:c>
      <x:c r="T594" t="n">
        <x:v>806947</x:v>
      </x:c>
      <x:c r="U594" t="n">
        <x:v>50000000</x:v>
      </x:c>
      <x:c r="V594" t="n">
        <x:v>4</x:v>
      </x:c>
      <x:c r="W594" t="n">
        <x:v>0</x:v>
      </x:c>
    </x:row>
    <x:row r="595">
      <x:c r="J595" t="n">
        <x:v>687</x:v>
      </x:c>
      <x:c r="K595" t="str">
        <x:v>Swiss Family Robinson</x:v>
      </x:c>
      <x:c r="L595" t="n">
        <x:v>22271</x:v>
      </x:c>
      <x:c r="M595" t="n">
        <x:v>126</x:v>
      </x:c>
      <x:c r="N595" t="str">
        <x:v>Adventure</x:v>
      </x:c>
      <x:c r="O595" t="str">
        <x:v>Ken Annakin</x:v>
      </x:c>
      <x:c r="P595" t="str">
        <x:v>Walt Disney Pictures</x:v>
      </x:c>
      <x:c r="Q595" t="str">
        <x:v>United States</x:v>
      </x:c>
      <x:c r="R595" t="str">
        <x:v>English</x:v>
      </x:c>
      <x:c r="S595" t="str">
        <x:v>U</x:v>
      </x:c>
      <x:c r="T595" t="n">
        <x:v>4000000</x:v>
      </x:c>
      <x:c r="U595" t="n">
        <x:v>40000000</x:v>
      </x:c>
      <x:c r="V595" t="n">
        <x:v>0</x:v>
      </x:c>
      <x:c r="W595" t="n">
        <x:v>0</x:v>
      </x:c>
    </x:row>
    <x:row r="596">
      <x:c r="J596" t="n">
        <x:v>688</x:v>
      </x:c>
      <x:c r="K596" t="str">
        <x:v>The Alamo</x:v>
      </x:c>
      <x:c r="L596" t="n">
        <x:v>22213</x:v>
      </x:c>
      <x:c r="M596" t="n">
        <x:v>167</x:v>
      </x:c>
      <x:c r="N596" t="str">
        <x:v>War</x:v>
      </x:c>
      <x:c r="O596" t="str">
        <x:v>John Wayne</x:v>
      </x:c>
      <x:c r="P596" t="str">
        <x:v>United Artists</x:v>
      </x:c>
      <x:c r="Q596" t="str">
        <x:v>United States</x:v>
      </x:c>
      <x:c r="R596" t="str">
        <x:v>English</x:v>
      </x:c>
      <x:c r="S596" t="str">
        <x:v>U</x:v>
      </x:c>
      <x:c r="T596" t="n">
        <x:v>12000000</x:v>
      </x:c>
      <x:c r="U596" t="n">
        <x:v>17260000</x:v>
      </x:c>
      <x:c r="V596" t="n">
        <x:v>7</x:v>
      </x:c>
      <x:c r="W596" t="n">
        <x:v>1</x:v>
      </x:c>
    </x:row>
    <x:row r="597">
      <x:c r="J597" t="n">
        <x:v>691</x:v>
      </x:c>
      <x:c r="K597" t="str">
        <x:v>Ocean's 11</x:v>
      </x:c>
      <x:c r="L597" t="n">
        <x:v>22138</x:v>
      </x:c>
      <x:c r="M597" t="n">
        <x:v>127</x:v>
      </x:c>
      <x:c r="N597" t="str">
        <x:v>Comedy</x:v>
      </x:c>
      <x:c r="O597" t="str">
        <x:v>Lewis Milestone</x:v>
      </x:c>
      <x:c r="P597" t="str">
        <x:v>Warner Bros. Pictures</x:v>
      </x:c>
      <x:c r="Q597" t="str">
        <x:v>United States</x:v>
      </x:c>
      <x:c r="R597" t="str">
        <x:v>English</x:v>
      </x:c>
      <x:c r="S597" t="str">
        <x:v>PG</x:v>
      </x:c>
      <x:c r="T597" t="n">
        <x:v>2800000</x:v>
      </x:c>
      <x:c r="U597" t="n">
        <x:v>5650000</x:v>
      </x:c>
      <x:c r="V597" t="n">
        <x:v>0</x:v>
      </x:c>
      <x:c r="W597" t="n">
        <x:v>0</x:v>
      </x:c>
    </x:row>
    <x:row r="598">
      <x:c r="J598" t="n">
        <x:v>694</x:v>
      </x:c>
      <x:c r="K598" t="str">
        <x:v>Ben-Hur</x:v>
      </x:c>
      <x:c r="L598" t="n">
        <x:v>21872</x:v>
      </x:c>
      <x:c r="M598" t="n">
        <x:v>212</x:v>
      </x:c>
      <x:c r="N598" t="str">
        <x:v>Drama</x:v>
      </x:c>
      <x:c r="O598" t="str">
        <x:v>William Wyler</x:v>
      </x:c>
      <x:c r="P598" t="str">
        <x:v>Metro-Goldwyn-Mayer</x:v>
      </x:c>
      <x:c r="Q598" t="str">
        <x:v>United States</x:v>
      </x:c>
      <x:c r="R598" t="str">
        <x:v>English</x:v>
      </x:c>
      <x:c r="S598" t="str">
        <x:v>PG</x:v>
      </x:c>
      <x:c r="T598" t="n">
        <x:v>15200000</x:v>
      </x:c>
      <x:c r="U598" t="n">
        <x:v>146900000</x:v>
      </x:c>
      <x:c r="V598" t="n">
        <x:v>12</x:v>
      </x:c>
      <x:c r="W598" t="n">
        <x:v>11</x:v>
      </x:c>
    </x:row>
    <x:row r="599">
      <x:c r="J599" t="n">
        <x:v>695</x:v>
      </x:c>
      <x:c r="K599" t="str">
        <x:v>Sleeping Beauty</x:v>
      </x:c>
      <x:c r="L599" t="n">
        <x:v>21579</x:v>
      </x:c>
      <x:c r="M599" t="n">
        <x:v>75</x:v>
      </x:c>
      <x:c r="N599" t="str">
        <x:v>Animation</x:v>
      </x:c>
      <x:c r="O599" t="str">
        <x:v>Wolfgang Reitherman</x:v>
      </x:c>
      <x:c r="P599" t="str">
        <x:v>Walt Disney Pictures</x:v>
      </x:c>
      <x:c r="Q599" t="str">
        <x:v>United States</x:v>
      </x:c>
      <x:c r="R599" t="str">
        <x:v>English</x:v>
      </x:c>
      <x:c r="S599" t="str">
        <x:v>U</x:v>
      </x:c>
      <x:c r="T599" t="n">
        <x:v>6000000</x:v>
      </x:c>
      <x:c r="U599" t="n">
        <x:v>51600000</x:v>
      </x:c>
      <x:c r="V599" t="n">
        <x:v>1</x:v>
      </x:c>
      <x:c r="W599" t="n">
        <x:v>0</x:v>
      </x:c>
    </x:row>
    <x:row r="600">
      <x:c r="J600" t="n">
        <x:v>696</x:v>
      </x:c>
      <x:c r="K600" t="str">
        <x:v>North by Northwest</x:v>
      </x:c>
      <x:c r="L600" t="n">
        <x:v>21759</x:v>
      </x:c>
      <x:c r="M600" t="n">
        <x:v>136</x:v>
      </x:c>
      <x:c r="N600" t="str">
        <x:v>Thriller</x:v>
      </x:c>
      <x:c r="O600" t="str">
        <x:v>Alfred Hitchcock</x:v>
      </x:c>
      <x:c r="P600" t="str">
        <x:v>Metro-Goldwyn-Mayer</x:v>
      </x:c>
      <x:c r="Q600" t="str">
        <x:v>United States</x:v>
      </x:c>
      <x:c r="R600" t="str">
        <x:v>English</x:v>
      </x:c>
      <x:c r="S600" t="str">
        <x:v>PG</x:v>
      </x:c>
      <x:c r="T600" t="n">
        <x:v>4326000</x:v>
      </x:c>
      <x:c r="U600" t="n">
        <x:v>9800000</x:v>
      </x:c>
      <x:c r="V600" t="n">
        <x:v>3</x:v>
      </x:c>
      <x:c r="W600" t="n">
        <x:v>0</x:v>
      </x:c>
    </x:row>
    <x:row r="601">
      <x:c r="J601" t="n">
        <x:v>697</x:v>
      </x:c>
      <x:c r="K601" t="str">
        <x:v>Some Like It Hot</x:v>
      </x:c>
      <x:c r="L601" t="n">
        <x:v>21638</x:v>
      </x:c>
      <x:c r="M601" t="n">
        <x:v>121</x:v>
      </x:c>
      <x:c r="N601" t="str">
        <x:v>Romantic Comedy</x:v>
      </x:c>
      <x:c r="O601" t="str">
        <x:v>Billy Wilder</x:v>
      </x:c>
      <x:c r="P601" t="str">
        <x:v>The Mirisch Production Company</x:v>
      </x:c>
      <x:c r="Q601" t="str">
        <x:v>United States</x:v>
      </x:c>
      <x:c r="R601" t="str">
        <x:v>English</x:v>
      </x:c>
      <x:c r="S601" t="str">
        <x:v>U</x:v>
      </x:c>
      <x:c r="T601" t="n">
        <x:v>2900000</x:v>
      </x:c>
      <x:c r="U601" t="n">
        <x:v>40000000</x:v>
      </x:c>
      <x:c r="V601" t="n">
        <x:v>6</x:v>
      </x:c>
      <x:c r="W601" t="n">
        <x:v>1</x:v>
      </x:c>
    </x:row>
    <x:row r="602">
      <x:c r="J602" t="n">
        <x:v>702</x:v>
      </x:c>
      <x:c r="K602" t="str">
        <x:v>Rio Bravo</x:v>
      </x:c>
      <x:c r="L602" t="n">
        <x:v>21627</x:v>
      </x:c>
      <x:c r="M602" t="n">
        <x:v>141</x:v>
      </x:c>
      <x:c r="N602" t="str">
        <x:v>Western</x:v>
      </x:c>
      <x:c r="O602" t="str">
        <x:v>Howard Hawks</x:v>
      </x:c>
      <x:c r="P602" t="str">
        <x:v>Warner Bros. Pictures</x:v>
      </x:c>
      <x:c r="Q602" t="str">
        <x:v>United States</x:v>
      </x:c>
      <x:c r="R602" t="str">
        <x:v>English</x:v>
      </x:c>
      <x:c r="S602" t="str">
        <x:v>PG</x:v>
      </x:c>
      <x:c r="T602"/>
      <x:c r="U602" t="n">
        <x:v>12535000</x:v>
      </x:c>
      <x:c r="V602" t="n">
        <x:v>0</x:v>
      </x:c>
      <x:c r="W602" t="n">
        <x:v>0</x:v>
      </x:c>
    </x:row>
    <x:row r="603">
      <x:c r="J603" t="n">
        <x:v>704</x:v>
      </x:c>
      <x:c r="K603" t="str">
        <x:v>South Pacific</x:v>
      </x:c>
      <x:c r="L603" t="n">
        <x:v>21263</x:v>
      </x:c>
      <x:c r="M603" t="n">
        <x:v>171</x:v>
      </x:c>
      <x:c r="N603" t="str">
        <x:v>Musical</x:v>
      </x:c>
      <x:c r="O603" t="str">
        <x:v>Joshua Logan</x:v>
      </x:c>
      <x:c r="P603" t="str">
        <x:v>20th Century Fox</x:v>
      </x:c>
      <x:c r="Q603" t="str">
        <x:v>United States</x:v>
      </x:c>
      <x:c r="R603" t="str">
        <x:v>English</x:v>
      </x:c>
      <x:c r="S603" t="str">
        <x:v>U</x:v>
      </x:c>
      <x:c r="T603" t="n">
        <x:v>5610000</x:v>
      </x:c>
      <x:c r="U603" t="n">
        <x:v>36800000</x:v>
      </x:c>
      <x:c r="V603" t="n">
        <x:v>3</x:v>
      </x:c>
      <x:c r="W603" t="n">
        <x:v>1</x:v>
      </x:c>
    </x:row>
    <x:row r="604">
      <x:c r="J604" t="n">
        <x:v>706</x:v>
      </x:c>
      <x:c r="K604" t="str">
        <x:v>Cat on a Hot Tin Roof</x:v>
      </x:c>
      <x:c r="L604" t="n">
        <x:v>21448</x:v>
      </x:c>
      <x:c r="M604" t="n">
        <x:v>107</x:v>
      </x:c>
      <x:c r="N604" t="str">
        <x:v>Drama</x:v>
      </x:c>
      <x:c r="O604" t="str">
        <x:v>Richard Brooks</x:v>
      </x:c>
      <x:c r="P604" t="str">
        <x:v>Metro-Goldwyn-Mayer</x:v>
      </x:c>
      <x:c r="Q604" t="str">
        <x:v>United States</x:v>
      </x:c>
      <x:c r="R604" t="str">
        <x:v>English</x:v>
      </x:c>
      <x:c r="S604" t="n">
        <x:v>15</x:v>
      </x:c>
      <x:c r="T604"/>
      <x:c r="U604"/>
      <x:c r="V604" t="n">
        <x:v>6</x:v>
      </x:c>
      <x:c r="W604" t="n">
        <x:v>0</x:v>
      </x:c>
    </x:row>
    <x:row r="605">
      <x:c r="J605" t="n">
        <x:v>709</x:v>
      </x:c>
      <x:c r="K605" t="str">
        <x:v>The Vikings</x:v>
      </x:c>
      <x:c r="L605" t="n">
        <x:v>21364</x:v>
      </x:c>
      <x:c r="M605" t="n">
        <x:v>116</x:v>
      </x:c>
      <x:c r="N605" t="str">
        <x:v>Adventure</x:v>
      </x:c>
      <x:c r="O605" t="str">
        <x:v>Richard Fleischer</x:v>
      </x:c>
      <x:c r="P605" t="str">
        <x:v>United Artists</x:v>
      </x:c>
      <x:c r="Q605" t="str">
        <x:v>United States</x:v>
      </x:c>
      <x:c r="R605" t="str">
        <x:v>English</x:v>
      </x:c>
      <x:c r="S605" t="str">
        <x:v>PG</x:v>
      </x:c>
      <x:c r="T605" t="n">
        <x:v>3500000</x:v>
      </x:c>
      <x:c r="U605" t="n">
        <x:v>6000000</x:v>
      </x:c>
      <x:c r="V605" t="n">
        <x:v>0</x:v>
      </x:c>
      <x:c r="W605" t="n">
        <x:v>0</x:v>
      </x:c>
    </x:row>
    <x:row r="606">
      <x:c r="J606" t="n">
        <x:v>710</x:v>
      </x:c>
      <x:c r="K606" t="str">
        <x:v>Vertigo</x:v>
      </x:c>
      <x:c r="L606" t="n">
        <x:v>21314</x:v>
      </x:c>
      <x:c r="M606" t="n">
        <x:v>128</x:v>
      </x:c>
      <x:c r="N606" t="str">
        <x:v>Thriller</x:v>
      </x:c>
      <x:c r="O606" t="str">
        <x:v>Alfred Hitchcock</x:v>
      </x:c>
      <x:c r="P606" t="str">
        <x:v>Paramount Pictures</x:v>
      </x:c>
      <x:c r="Q606" t="str">
        <x:v>United States</x:v>
      </x:c>
      <x:c r="R606" t="str">
        <x:v>English</x:v>
      </x:c>
      <x:c r="S606" t="str">
        <x:v>PG</x:v>
      </x:c>
      <x:c r="T606" t="n">
        <x:v>2500000</x:v>
      </x:c>
      <x:c r="U606" t="n">
        <x:v>7300000</x:v>
      </x:c>
      <x:c r="V606" t="n">
        <x:v>2</x:v>
      </x:c>
      <x:c r="W606" t="n">
        <x:v>0</x:v>
      </x:c>
    </x:row>
    <x:row r="607">
      <x:c r="J607" t="n">
        <x:v>714</x:v>
      </x:c>
      <x:c r="K607" t="str">
        <x:v>The Bridge on the River Kwai</x:v>
      </x:c>
      <x:c r="L607" t="n">
        <x:v>21095</x:v>
      </x:c>
      <x:c r="M607" t="n">
        <x:v>161</x:v>
      </x:c>
      <x:c r="N607" t="str">
        <x:v>War</x:v>
      </x:c>
      <x:c r="O607" t="str">
        <x:v>David Lean</x:v>
      </x:c>
      <x:c r="P607" t="str">
        <x:v>Horizon Pictures</x:v>
      </x:c>
      <x:c r="Q607" t="str">
        <x:v>United Kingdom</x:v>
      </x:c>
      <x:c r="R607" t="str">
        <x:v>English</x:v>
      </x:c>
      <x:c r="S607" t="str">
        <x:v>U</x:v>
      </x:c>
      <x:c r="T607" t="n">
        <x:v>2800000</x:v>
      </x:c>
      <x:c r="U607" t="n">
        <x:v>30600000</x:v>
      </x:c>
      <x:c r="V607" t="n">
        <x:v>8</x:v>
      </x:c>
      <x:c r="W607" t="n">
        <x:v>7</x:v>
      </x:c>
    </x:row>
    <x:row r="608">
      <x:c r="J608" t="n">
        <x:v>717</x:v>
      </x:c>
      <x:c r="K608" t="str">
        <x:v>Old Yeller</x:v>
      </x:c>
      <x:c r="L608" t="n">
        <x:v>21179</x:v>
      </x:c>
      <x:c r="M608" t="n">
        <x:v>83</x:v>
      </x:c>
      <x:c r="N608" t="str">
        <x:v>Drama</x:v>
      </x:c>
      <x:c r="O608" t="str">
        <x:v>Robert Stevenson</x:v>
      </x:c>
      <x:c r="P608" t="str">
        <x:v>Walt Disney Pictures</x:v>
      </x:c>
      <x:c r="Q608" t="str">
        <x:v>United States</x:v>
      </x:c>
      <x:c r="R608" t="str">
        <x:v>English</x:v>
      </x:c>
      <x:c r="S608" t="str">
        <x:v>U</x:v>
      </x:c>
      <x:c r="T608"/>
      <x:c r="U608" t="n">
        <x:v>6250000</x:v>
      </x:c>
      <x:c r="V608" t="n">
        <x:v>0</x:v>
      </x:c>
      <x:c r="W608" t="n">
        <x:v>0</x:v>
      </x:c>
    </x:row>
    <x:row r="609">
      <x:c r="J609" t="n">
        <x:v>721</x:v>
      </x:c>
      <x:c r="K609" t="str">
        <x:v>A Farewell to Arms</x:v>
      </x:c>
      <x:c r="L609" t="n">
        <x:v>21168</x:v>
      </x:c>
      <x:c r="M609" t="n">
        <x:v>152</x:v>
      </x:c>
      <x:c r="N609" t="str">
        <x:v>Drama</x:v>
      </x:c>
      <x:c r="O609" t="str">
        <x:v>Charles Vidor</x:v>
      </x:c>
      <x:c r="P609" t="str">
        <x:v>Selznick International Pictures</x:v>
      </x:c>
      <x:c r="Q609" t="str">
        <x:v>United States</x:v>
      </x:c>
      <x:c r="R609" t="str">
        <x:v>English</x:v>
      </x:c>
      <x:c r="S609" t="n">
        <x:v>15</x:v>
      </x:c>
      <x:c r="T609" t="n">
        <x:v>4300000</x:v>
      </x:c>
      <x:c r="U609" t="n">
        <x:v>20000000</x:v>
      </x:c>
      <x:c r="V609" t="n">
        <x:v>1</x:v>
      </x:c>
      <x:c r="W609" t="n">
        <x:v>0</x:v>
      </x:c>
    </x:row>
    <x:row r="610">
      <x:c r="J610" t="n">
        <x:v>722</x:v>
      </x:c>
      <x:c r="K610" t="str">
        <x:v>Gunfight at the O.K. Corral</x:v>
      </x:c>
      <x:c r="L610" t="n">
        <x:v>20970</x:v>
      </x:c>
      <x:c r="M610" t="n">
        <x:v>122</x:v>
      </x:c>
      <x:c r="N610" t="str">
        <x:v>Western</x:v>
      </x:c>
      <x:c r="O610" t="str">
        <x:v>John Sturges</x:v>
      </x:c>
      <x:c r="P610" t="str">
        <x:v>Paramount Pictures</x:v>
      </x:c>
      <x:c r="Q610" t="str">
        <x:v>United States</x:v>
      </x:c>
      <x:c r="R610" t="str">
        <x:v>English</x:v>
      </x:c>
      <x:c r="S610" t="str">
        <x:v>PG</x:v>
      </x:c>
      <x:c r="T610" t="n">
        <x:v>2000000</x:v>
      </x:c>
      <x:c r="U610" t="n">
        <x:v>10700000</x:v>
      </x:c>
      <x:c r="V610" t="n">
        <x:v>2</x:v>
      </x:c>
      <x:c r="W610" t="n">
        <x:v>0</x:v>
      </x:c>
    </x:row>
    <x:row r="611">
      <x:c r="J611" t="n">
        <x:v>724</x:v>
      </x:c>
      <x:c r="K611" t="str">
        <x:v>The Ten Commandments</x:v>
      </x:c>
      <x:c r="L611" t="n">
        <x:v>20733</x:v>
      </x:c>
      <x:c r="M611" t="n">
        <x:v>220</x:v>
      </x:c>
      <x:c r="N611" t="str">
        <x:v>Fantasy</x:v>
      </x:c>
      <x:c r="O611" t="str">
        <x:v>Cecil B. DeMille</x:v>
      </x:c>
      <x:c r="P611" t="str">
        <x:v>Motion Picture Corporation of America</x:v>
      </x:c>
      <x:c r="Q611" t="str">
        <x:v>United States</x:v>
      </x:c>
      <x:c r="R611" t="str">
        <x:v>English</x:v>
      </x:c>
      <x:c r="S611" t="str">
        <x:v>U</x:v>
      </x:c>
      <x:c r="T611" t="n">
        <x:v>13200000</x:v>
      </x:c>
      <x:c r="U611" t="n">
        <x:v>80000000</x:v>
      </x:c>
      <x:c r="V611" t="n">
        <x:v>7</x:v>
      </x:c>
      <x:c r="W611" t="n">
        <x:v>1</x:v>
      </x:c>
    </x:row>
    <x:row r="612">
      <x:c r="J612" t="n">
        <x:v>726</x:v>
      </x:c>
      <x:c r="K612" t="str">
        <x:v>War and Peace</x:v>
      </x:c>
      <x:c r="L612" t="n">
        <x:v>20688</x:v>
      </x:c>
      <x:c r="M612" t="n">
        <x:v>208</x:v>
      </x:c>
      <x:c r="N612" t="str">
        <x:v>Drama</x:v>
      </x:c>
      <x:c r="O612" t="str">
        <x:v>King Vidor</x:v>
      </x:c>
      <x:c r="P612" t="str">
        <x:v>Dino De Laurentiis Corporation</x:v>
      </x:c>
      <x:c r="Q612" t="str">
        <x:v>United States</x:v>
      </x:c>
      <x:c r="R612" t="str">
        <x:v>English</x:v>
      </x:c>
      <x:c r="S612" t="str">
        <x:v>PG</x:v>
      </x:c>
      <x:c r="T612" t="n">
        <x:v>6000000</x:v>
      </x:c>
      <x:c r="U612" t="n">
        <x:v>12500000</x:v>
      </x:c>
      <x:c r="V612" t="n">
        <x:v>3</x:v>
      </x:c>
      <x:c r="W612" t="n">
        <x:v>0</x:v>
      </x:c>
    </x:row>
    <x:row r="613">
      <x:c r="J613" t="n">
        <x:v>727</x:v>
      </x:c>
      <x:c r="K613" t="str">
        <x:v>The King and I</x:v>
      </x:c>
      <x:c r="L613" t="n">
        <x:v>20634</x:v>
      </x:c>
      <x:c r="M613" t="n">
        <x:v>133</x:v>
      </x:c>
      <x:c r="N613" t="str">
        <x:v>Musical</x:v>
      </x:c>
      <x:c r="O613" t="str">
        <x:v>Walter Lang</x:v>
      </x:c>
      <x:c r="P613" t="str">
        <x:v>20th Century Fox</x:v>
      </x:c>
      <x:c r="Q613" t="str">
        <x:v>United States</x:v>
      </x:c>
      <x:c r="R613" t="str">
        <x:v>English</x:v>
      </x:c>
      <x:c r="S613" t="str">
        <x:v>U</x:v>
      </x:c>
      <x:c r="T613" t="n">
        <x:v>4550000</x:v>
      </x:c>
      <x:c r="U613" t="n">
        <x:v>21300000</x:v>
      </x:c>
      <x:c r="V613" t="n">
        <x:v>9</x:v>
      </x:c>
      <x:c r="W613" t="n">
        <x:v>5</x:v>
      </x:c>
    </x:row>
    <x:row r="614">
      <x:c r="J614" t="n">
        <x:v>728</x:v>
      </x:c>
      <x:c r="K614" t="str">
        <x:v>The Searchers</x:v>
      </x:c>
      <x:c r="L614" t="n">
        <x:v>20527</x:v>
      </x:c>
      <x:c r="M614" t="n">
        <x:v>119</x:v>
      </x:c>
      <x:c r="N614" t="str">
        <x:v>Western</x:v>
      </x:c>
      <x:c r="O614" t="str">
        <x:v>John Ford</x:v>
      </x:c>
      <x:c r="P614" t="str">
        <x:v>Warner Bros. Pictures</x:v>
      </x:c>
      <x:c r="Q614" t="str">
        <x:v>United States</x:v>
      </x:c>
      <x:c r="R614" t="str">
        <x:v>English</x:v>
      </x:c>
      <x:c r="S614" t="str">
        <x:v>U</x:v>
      </x:c>
      <x:c r="T614" t="n">
        <x:v>3750000</x:v>
      </x:c>
      <x:c r="U614" t="n">
        <x:v>37500000</x:v>
      </x:c>
      <x:c r="V614" t="n">
        <x:v>0</x:v>
      </x:c>
      <x:c r="W614" t="n">
        <x:v>0</x:v>
      </x:c>
    </x:row>
    <x:row r="615">
      <x:c r="J615" t="n">
        <x:v>731</x:v>
      </x:c>
      <x:c r="K615" t="str">
        <x:v>High Society</x:v>
      </x:c>
      <x:c r="L615" t="n">
        <x:v>20653</x:v>
      </x:c>
      <x:c r="M615" t="n">
        <x:v>111</x:v>
      </x:c>
      <x:c r="N615" t="str">
        <x:v>Musical</x:v>
      </x:c>
      <x:c r="O615" t="str">
        <x:v>Charles Walters</x:v>
      </x:c>
      <x:c r="P615" t="str">
        <x:v>Bing Crosby Productions</x:v>
      </x:c>
      <x:c r="Q615" t="str">
        <x:v>United States</x:v>
      </x:c>
      <x:c r="R615" t="str">
        <x:v>English</x:v>
      </x:c>
      <x:c r="S615" t="str">
        <x:v>U</x:v>
      </x:c>
      <x:c r="T615" t="n">
        <x:v>2762000</x:v>
      </x:c>
      <x:c r="U615" t="n">
        <x:v>8258000</x:v>
      </x:c>
      <x:c r="V615" t="n">
        <x:v>2</x:v>
      </x:c>
      <x:c r="W615" t="n">
        <x:v>0</x:v>
      </x:c>
    </x:row>
    <x:row r="616">
      <x:c r="J616" t="n">
        <x:v>736</x:v>
      </x:c>
      <x:c r="K616" t="str">
        <x:v>Oklahoma!</x:v>
      </x:c>
      <x:c r="L616" t="n">
        <x:v>20373</x:v>
      </x:c>
      <x:c r="M616" t="n">
        <x:v>145</x:v>
      </x:c>
      <x:c r="N616" t="str">
        <x:v>Musical</x:v>
      </x:c>
      <x:c r="O616" t="str">
        <x:v>Fred Zinnemann</x:v>
      </x:c>
      <x:c r="P616" t="str">
        <x:v>RKO Radio Pictures</x:v>
      </x:c>
      <x:c r="Q616" t="str">
        <x:v>United States</x:v>
      </x:c>
      <x:c r="R616" t="str">
        <x:v>English</x:v>
      </x:c>
      <x:c r="S616" t="str">
        <x:v>U</x:v>
      </x:c>
      <x:c r="T616" t="n">
        <x:v>5000000</x:v>
      </x:c>
      <x:c r="U616" t="n">
        <x:v>7100000</x:v>
      </x:c>
      <x:c r="V616" t="n">
        <x:v>4</x:v>
      </x:c>
      <x:c r="W616" t="n">
        <x:v>2</x:v>
      </x:c>
    </x:row>
    <x:row r="617">
      <x:c r="J617" t="n">
        <x:v>737</x:v>
      </x:c>
      <x:c r="K617" t="str">
        <x:v>Guys and Dolls</x:v>
      </x:c>
      <x:c r="L617" t="n">
        <x:v>20396</x:v>
      </x:c>
      <x:c r="M617" t="n">
        <x:v>150</x:v>
      </x:c>
      <x:c r="N617" t="str">
        <x:v>Musical</x:v>
      </x:c>
      <x:c r="O617" t="str">
        <x:v>Joseph L. Mankiewicz</x:v>
      </x:c>
      <x:c r="P617" t="str">
        <x:v>Metro-Goldwyn-Mayer</x:v>
      </x:c>
      <x:c r="Q617" t="str">
        <x:v>United States</x:v>
      </x:c>
      <x:c r="R617" t="str">
        <x:v>English</x:v>
      </x:c>
      <x:c r="S617" t="str">
        <x:v>U</x:v>
      </x:c>
      <x:c r="T617" t="n">
        <x:v>5500000</x:v>
      </x:c>
      <x:c r="U617" t="n">
        <x:v>20000000</x:v>
      </x:c>
      <x:c r="V617" t="n">
        <x:v>4</x:v>
      </x:c>
      <x:c r="W617" t="n">
        <x:v>0</x:v>
      </x:c>
    </x:row>
    <x:row r="618">
      <x:c r="J618" t="n">
        <x:v>738</x:v>
      </x:c>
      <x:c r="K618" t="str">
        <x:v>Lady and the Tramp</x:v>
      </x:c>
      <x:c r="L618" t="n">
        <x:v>20262</x:v>
      </x:c>
      <x:c r="M618" t="n">
        <x:v>75</x:v>
      </x:c>
      <x:c r="N618" t="str">
        <x:v>Animation</x:v>
      </x:c>
      <x:c r="O618" t="str">
        <x:v>Clyde Geronimi</x:v>
      </x:c>
      <x:c r="P618" t="str">
        <x:v>Walt Disney Pictures</x:v>
      </x:c>
      <x:c r="Q618" t="str">
        <x:v>United States</x:v>
      </x:c>
      <x:c r="R618" t="str">
        <x:v>English</x:v>
      </x:c>
      <x:c r="S618" t="str">
        <x:v>U</x:v>
      </x:c>
      <x:c r="T618" t="n">
        <x:v>4000000</x:v>
      </x:c>
      <x:c r="U618" t="n">
        <x:v>93600000</x:v>
      </x:c>
      <x:c r="V618" t="n">
        <x:v>0</x:v>
      </x:c>
      <x:c r="W618" t="n">
        <x:v>0</x:v>
      </x:c>
    </x:row>
    <x:row r="619">
      <x:c r="J619" t="n">
        <x:v>744</x:v>
      </x:c>
      <x:c r="K619" t="str">
        <x:v>20,000 Leagues Under the Sea</x:v>
      </x:c>
      <x:c r="L619" t="n">
        <x:v>20081</x:v>
      </x:c>
      <x:c r="M619" t="n">
        <x:v>127</x:v>
      </x:c>
      <x:c r="N619" t="str">
        <x:v>Adventure</x:v>
      </x:c>
      <x:c r="O619" t="str">
        <x:v>Richard Fleischer</x:v>
      </x:c>
      <x:c r="P619" t="str">
        <x:v>Walt Disney Pictures</x:v>
      </x:c>
      <x:c r="Q619" t="str">
        <x:v>United States</x:v>
      </x:c>
      <x:c r="R619" t="str">
        <x:v>English</x:v>
      </x:c>
      <x:c r="S619" t="str">
        <x:v>U</x:v>
      </x:c>
      <x:c r="T619" t="n">
        <x:v>5000000</x:v>
      </x:c>
      <x:c r="U619" t="n">
        <x:v>28200000</x:v>
      </x:c>
      <x:c r="V619" t="n">
        <x:v>3</x:v>
      </x:c>
      <x:c r="W619" t="n">
        <x:v>2</x:v>
      </x:c>
    </x:row>
    <x:row r="620">
      <x:c r="J620" t="n">
        <x:v>753</x:v>
      </x:c>
      <x:c r="K620" t="str">
        <x:v>The Robe</x:v>
      </x:c>
      <x:c r="L620" t="n">
        <x:v>19618</x:v>
      </x:c>
      <x:c r="M620" t="n">
        <x:v>135</x:v>
      </x:c>
      <x:c r="N620" t="str">
        <x:v>Drama</x:v>
      </x:c>
      <x:c r="O620" t="str">
        <x:v>Henry Koster</x:v>
      </x:c>
      <x:c r="P620" t="str">
        <x:v>20th Century Fox</x:v>
      </x:c>
      <x:c r="Q620" t="str">
        <x:v>United States</x:v>
      </x:c>
      <x:c r="R620" t="str">
        <x:v>English</x:v>
      </x:c>
      <x:c r="S620" t="str">
        <x:v>U</x:v>
      </x:c>
      <x:c r="T620" t="n">
        <x:v>4100000</x:v>
      </x:c>
      <x:c r="U620" t="n">
        <x:v>36000000</x:v>
      </x:c>
      <x:c r="V620" t="n">
        <x:v>5</x:v>
      </x:c>
      <x:c r="W620" t="n">
        <x:v>2</x:v>
      </x:c>
    </x:row>
    <x:row r="621">
      <x:c r="J621" t="n">
        <x:v>754</x:v>
      </x:c>
      <x:c r="K621" t="str">
        <x:v>From Here to Eternity</x:v>
      </x:c>
      <x:c r="L621" t="n">
        <x:v>19576</x:v>
      </x:c>
      <x:c r="M621" t="n">
        <x:v>118</x:v>
      </x:c>
      <x:c r="N621" t="str">
        <x:v>Drama</x:v>
      </x:c>
      <x:c r="O621" t="str">
        <x:v>Fred Zinnemann</x:v>
      </x:c>
      <x:c r="P621" t="str">
        <x:v>Columbia Pictures</x:v>
      </x:c>
      <x:c r="Q621" t="str">
        <x:v>United States</x:v>
      </x:c>
      <x:c r="R621" t="str">
        <x:v>English</x:v>
      </x:c>
      <x:c r="S621" t="str">
        <x:v>PG</x:v>
      </x:c>
      <x:c r="T621" t="n">
        <x:v>2500000</x:v>
      </x:c>
      <x:c r="U621" t="n">
        <x:v>30500000</x:v>
      </x:c>
      <x:c r="V621" t="n">
        <x:v>13</x:v>
      </x:c>
      <x:c r="W621" t="n">
        <x:v>8</x:v>
      </x:c>
    </x:row>
    <x:row r="622">
      <x:c r="J622" t="n">
        <x:v>755</x:v>
      </x:c>
      <x:c r="K622" t="str">
        <x:v>Shane</x:v>
      </x:c>
      <x:c r="L622" t="n">
        <x:v>19472</x:v>
      </x:c>
      <x:c r="M622" t="n">
        <x:v>118</x:v>
      </x:c>
      <x:c r="N622" t="str">
        <x:v>Western</x:v>
      </x:c>
      <x:c r="O622" t="str">
        <x:v>George Stevens</x:v>
      </x:c>
      <x:c r="P622" t="str">
        <x:v>Paramount Pictures</x:v>
      </x:c>
      <x:c r="Q622" t="str">
        <x:v>United States</x:v>
      </x:c>
      <x:c r="R622" t="str">
        <x:v>English</x:v>
      </x:c>
      <x:c r="S622" t="str">
        <x:v>PG</x:v>
      </x:c>
      <x:c r="T622" t="n">
        <x:v>3100000</x:v>
      </x:c>
      <x:c r="U622" t="n">
        <x:v>20000000</x:v>
      </x:c>
      <x:c r="V622" t="n">
        <x:v>6</x:v>
      </x:c>
      <x:c r="W622" t="n">
        <x:v>1</x:v>
      </x:c>
    </x:row>
    <x:row r="623">
      <x:c r="J623" t="n">
        <x:v>757</x:v>
      </x:c>
      <x:c r="K623" t="str">
        <x:v>Peter Pan</x:v>
      </x:c>
      <x:c r="L623" t="n">
        <x:v>19395</x:v>
      </x:c>
      <x:c r="M623" t="n">
        <x:v>76</x:v>
      </x:c>
      <x:c r="N623" t="str">
        <x:v>Animation</x:v>
      </x:c>
      <x:c r="O623" t="str">
        <x:v>Clyde Geronimi</x:v>
      </x:c>
      <x:c r="P623" t="str">
        <x:v>Walt Disney Pictures</x:v>
      </x:c>
      <x:c r="Q623" t="str">
        <x:v>United States</x:v>
      </x:c>
      <x:c r="R623" t="str">
        <x:v>English</x:v>
      </x:c>
      <x:c r="S623" t="str">
        <x:v>U</x:v>
      </x:c>
      <x:c r="T623" t="n">
        <x:v>4000000</x:v>
      </x:c>
      <x:c r="U623" t="n">
        <x:v>87400000</x:v>
      </x:c>
      <x:c r="V623" t="n">
        <x:v>0</x:v>
      </x:c>
      <x:c r="W623" t="n">
        <x:v>0</x:v>
      </x:c>
    </x:row>
    <x:row r="624">
      <x:c r="J624" t="n">
        <x:v>761</x:v>
      </x:c>
      <x:c r="K624" t="str">
        <x:v>Gentlemen Prefer Blondes</x:v>
      </x:c>
      <x:c r="L624" t="n">
        <x:v>19555</x:v>
      </x:c>
      <x:c r="M624" t="n">
        <x:v>91</x:v>
      </x:c>
      <x:c r="N624" t="str">
        <x:v>Musical</x:v>
      </x:c>
      <x:c r="O624" t="str">
        <x:v>Howard Hawks</x:v>
      </x:c>
      <x:c r="P624" t="str">
        <x:v>20th Century Fox</x:v>
      </x:c>
      <x:c r="Q624" t="str">
        <x:v>United States</x:v>
      </x:c>
      <x:c r="R624" t="str">
        <x:v>English</x:v>
      </x:c>
      <x:c r="S624" t="str">
        <x:v>U</x:v>
      </x:c>
      <x:c r="T624" t="n">
        <x:v>2260000</x:v>
      </x:c>
      <x:c r="U624" t="n">
        <x:v>5300000</x:v>
      </x:c>
      <x:c r="V624" t="n">
        <x:v>0</x:v>
      </x:c>
      <x:c r="W624" t="n">
        <x:v>0</x:v>
      </x:c>
    </x:row>
    <x:row r="625">
      <x:c r="J625" t="n">
        <x:v>766</x:v>
      </x:c>
      <x:c r="K625" t="str">
        <x:v>Ivanhoe</x:v>
      </x:c>
      <x:c r="L625" t="n">
        <x:v>19206</x:v>
      </x:c>
      <x:c r="M625" t="n">
        <x:v>106</x:v>
      </x:c>
      <x:c r="N625" t="str">
        <x:v>Adventure</x:v>
      </x:c>
      <x:c r="O625" t="str">
        <x:v>Richard Thorpe</x:v>
      </x:c>
      <x:c r="P625" t="str">
        <x:v>Metro-Goldwyn-Mayer</x:v>
      </x:c>
      <x:c r="Q625" t="str">
        <x:v>United Kingdom</x:v>
      </x:c>
      <x:c r="R625" t="str">
        <x:v>English</x:v>
      </x:c>
      <x:c r="S625" t="str">
        <x:v>U</x:v>
      </x:c>
      <x:c r="T625" t="n">
        <x:v>3842000</x:v>
      </x:c>
      <x:c r="U625" t="n">
        <x:v>10878000</x:v>
      </x:c>
      <x:c r="V625" t="n">
        <x:v>3</x:v>
      </x:c>
      <x:c r="W625" t="n">
        <x:v>0</x:v>
      </x:c>
    </x:row>
    <x:row r="626">
      <x:c r="J626" t="n">
        <x:v>767</x:v>
      </x:c>
      <x:c r="K626" t="str">
        <x:v>Singin' in the Rain</x:v>
      </x:c>
      <x:c r="L626" t="n">
        <x:v>19095</x:v>
      </x:c>
      <x:c r="M626" t="n">
        <x:v>103</x:v>
      </x:c>
      <x:c r="N626" t="str">
        <x:v>Musical</x:v>
      </x:c>
      <x:c r="O626" t="str">
        <x:v>Gene Kelly</x:v>
      </x:c>
      <x:c r="P626" t="str">
        <x:v>Metro-Goldwyn-Mayer</x:v>
      </x:c>
      <x:c r="Q626" t="str">
        <x:v>United States</x:v>
      </x:c>
      <x:c r="R626" t="str">
        <x:v>English</x:v>
      </x:c>
      <x:c r="S626" t="str">
        <x:v>U</x:v>
      </x:c>
      <x:c r="T626" t="n">
        <x:v>2500000</x:v>
      </x:c>
      <x:c r="U626" t="n">
        <x:v>12400000</x:v>
      </x:c>
      <x:c r="V626" t="n">
        <x:v>2</x:v>
      </x:c>
      <x:c r="W626" t="n">
        <x:v>0</x:v>
      </x:c>
    </x:row>
    <x:row r="627">
      <x:c r="J627" t="n">
        <x:v>769</x:v>
      </x:c>
      <x:c r="K627" t="str">
        <x:v>Moulin Rouge</x:v>
      </x:c>
      <x:c r="L627" t="n">
        <x:v>19351</x:v>
      </x:c>
      <x:c r="M627" t="n">
        <x:v>119</x:v>
      </x:c>
      <x:c r="N627" t="str">
        <x:v>Drama</x:v>
      </x:c>
      <x:c r="O627" t="str">
        <x:v>John Huston</x:v>
      </x:c>
      <x:c r="P627" t="str">
        <x:v>Romulus Films</x:v>
      </x:c>
      <x:c r="Q627" t="str">
        <x:v>United Kingdom</x:v>
      </x:c>
      <x:c r="R627" t="str">
        <x:v>English</x:v>
      </x:c>
      <x:c r="S627" t="str">
        <x:v>PG</x:v>
      </x:c>
      <x:c r="T627" t="n">
        <x:v>1500000</x:v>
      </x:c>
      <x:c r="U627" t="n">
        <x:v>5000000</x:v>
      </x:c>
      <x:c r="V627" t="n">
        <x:v>7</x:v>
      </x:c>
      <x:c r="W627" t="n">
        <x:v>2</x:v>
      </x:c>
    </x:row>
    <x:row r="628">
      <x:c r="J628" t="n">
        <x:v>774</x:v>
      </x:c>
      <x:c r="K628" t="str">
        <x:v>Alice in Wonderland</x:v>
      </x:c>
      <x:c r="L628" t="n">
        <x:v>18805</x:v>
      </x:c>
      <x:c r="M628" t="n">
        <x:v>75</x:v>
      </x:c>
      <x:c r="N628" t="str">
        <x:v>Animation</x:v>
      </x:c>
      <x:c r="O628" t="str">
        <x:v>Clyde Geronimi</x:v>
      </x:c>
      <x:c r="P628" t="str">
        <x:v>Walt Disney Pictures</x:v>
      </x:c>
      <x:c r="Q628" t="str">
        <x:v>United States</x:v>
      </x:c>
      <x:c r="R628" t="str">
        <x:v>English</x:v>
      </x:c>
      <x:c r="S628" t="str">
        <x:v>U</x:v>
      </x:c>
      <x:c r="T628" t="n">
        <x:v>3000000</x:v>
      </x:c>
      <x:c r="U628" t="n">
        <x:v>5232000</x:v>
      </x:c>
      <x:c r="V628" t="n">
        <x:v>1</x:v>
      </x:c>
      <x:c r="W628" t="n">
        <x:v>0</x:v>
      </x:c>
    </x:row>
    <x:row r="629">
      <x:c r="J629" t="n">
        <x:v>776</x:v>
      </x:c>
      <x:c r="K629" t="str">
        <x:v>A Streetcar Named Desire</x:v>
      </x:c>
      <x:c r="L629" t="n">
        <x:v>18889</x:v>
      </x:c>
      <x:c r="M629" t="n">
        <x:v>122</x:v>
      </x:c>
      <x:c r="N629" t="str">
        <x:v>Drama</x:v>
      </x:c>
      <x:c r="O629" t="str">
        <x:v>Elia Kazan</x:v>
      </x:c>
      <x:c r="P629" t="str">
        <x:v>Warner Bros. Pictures</x:v>
      </x:c>
      <x:c r="Q629" t="str">
        <x:v>United States</x:v>
      </x:c>
      <x:c r="R629" t="str">
        <x:v>English</x:v>
      </x:c>
      <x:c r="S629" t="n">
        <x:v>15</x:v>
      </x:c>
      <x:c r="T629" t="n">
        <x:v>1800000</x:v>
      </x:c>
      <x:c r="U629" t="n">
        <x:v>8000000</x:v>
      </x:c>
      <x:c r="V629" t="n">
        <x:v>12</x:v>
      </x:c>
      <x:c r="W629" t="n">
        <x:v>4</x:v>
      </x:c>
    </x:row>
    <x:row r="630">
      <x:c r="J630" t="n">
        <x:v>779</x:v>
      </x:c>
      <x:c r="K630" t="str">
        <x:v>The African Queen</x:v>
      </x:c>
      <x:c r="L630" t="n">
        <x:v>18985</x:v>
      </x:c>
      <x:c r="M630" t="n">
        <x:v>105</x:v>
      </x:c>
      <x:c r="N630" t="str">
        <x:v>Adventure</x:v>
      </x:c>
      <x:c r="O630" t="str">
        <x:v>John Huston</x:v>
      </x:c>
      <x:c r="P630" t="str">
        <x:v>Horizon Pictures</x:v>
      </x:c>
      <x:c r="Q630" t="str">
        <x:v>United States</x:v>
      </x:c>
      <x:c r="R630" t="str">
        <x:v>English</x:v>
      </x:c>
      <x:c r="S630" t="str">
        <x:v>U</x:v>
      </x:c>
      <x:c r="T630" t="n">
        <x:v>1000000</x:v>
      </x:c>
      <x:c r="U630" t="n">
        <x:v>10750000</x:v>
      </x:c>
      <x:c r="V630" t="n">
        <x:v>4</x:v>
      </x:c>
      <x:c r="W630" t="n">
        <x:v>1</x:v>
      </x:c>
    </x:row>
    <x:row r="631">
      <x:c r="J631" t="n">
        <x:v>781</x:v>
      </x:c>
      <x:c r="K631" t="str">
        <x:v>Strangers on a Train</x:v>
      </x:c>
      <x:c r="L631" t="n">
        <x:v>18809</x:v>
      </x:c>
      <x:c r="M631" t="n">
        <x:v>101</x:v>
      </x:c>
      <x:c r="N631" t="str">
        <x:v>Thriller</x:v>
      </x:c>
      <x:c r="O631" t="str">
        <x:v>Alfred Hitchcock</x:v>
      </x:c>
      <x:c r="P631" t="str">
        <x:v>Transatlantic Pictures</x:v>
      </x:c>
      <x:c r="Q631" t="str">
        <x:v>United States</x:v>
      </x:c>
      <x:c r="R631" t="str">
        <x:v>English</x:v>
      </x:c>
      <x:c r="S631" t="str">
        <x:v>PG</x:v>
      </x:c>
      <x:c r="T631" t="n">
        <x:v>1200000</x:v>
      </x:c>
      <x:c r="U631" t="n">
        <x:v>7000000</x:v>
      </x:c>
      <x:c r="V631" t="n">
        <x:v>1</x:v>
      </x:c>
      <x:c r="W631" t="n">
        <x:v>0</x:v>
      </x:c>
    </x:row>
    <x:row r="632">
      <x:c r="J632" t="n">
        <x:v>783</x:v>
      </x:c>
      <x:c r="K632" t="str">
        <x:v>Cinderella</x:v>
      </x:c>
      <x:c r="L632" t="n">
        <x:v>18326</x:v>
      </x:c>
      <x:c r="M632" t="n">
        <x:v>75</x:v>
      </x:c>
      <x:c r="N632" t="str">
        <x:v>Animation</x:v>
      </x:c>
      <x:c r="O632" t="str">
        <x:v>Clyde Geronimi</x:v>
      </x:c>
      <x:c r="P632" t="str">
        <x:v>Walt Disney Pictures</x:v>
      </x:c>
      <x:c r="Q632" t="str">
        <x:v>United States</x:v>
      </x:c>
      <x:c r="R632" t="str">
        <x:v>English</x:v>
      </x:c>
      <x:c r="S632" t="str">
        <x:v>U</x:v>
      </x:c>
      <x:c r="T632" t="n">
        <x:v>2900000</x:v>
      </x:c>
      <x:c r="U632" t="n">
        <x:v>263600000</x:v>
      </x:c>
      <x:c r="V632" t="n">
        <x:v>3</x:v>
      </x:c>
      <x:c r="W632" t="n">
        <x:v>0</x:v>
      </x:c>
    </x:row>
    <x:row r="633">
      <x:c r="J633" t="n">
        <x:v>784</x:v>
      </x:c>
      <x:c r="K633" t="str">
        <x:v>King Solomon's Mines</x:v>
      </x:c>
      <x:c r="L633" t="n">
        <x:v>18591</x:v>
      </x:c>
      <x:c r="M633" t="n">
        <x:v>103</x:v>
      </x:c>
      <x:c r="N633" t="str">
        <x:v>Adventure</x:v>
      </x:c>
      <x:c r="O633" t="str">
        <x:v>Compton Bennett</x:v>
      </x:c>
      <x:c r="P633" t="str">
        <x:v>Metro-Goldwyn-Mayer</x:v>
      </x:c>
      <x:c r="Q633" t="str">
        <x:v>United States</x:v>
      </x:c>
      <x:c r="R633" t="str">
        <x:v>English</x:v>
      </x:c>
      <x:c r="S633" t="str">
        <x:v>PG</x:v>
      </x:c>
      <x:c r="T633" t="n">
        <x:v>2300000</x:v>
      </x:c>
      <x:c r="U633" t="n">
        <x:v>15100000</x:v>
      </x:c>
      <x:c r="V633" t="n">
        <x:v>3</x:v>
      </x:c>
      <x:c r="W633" t="n">
        <x:v>2</x:v>
      </x:c>
    </x:row>
    <x:row r="634">
      <x:c r="J634" t="n">
        <x:v>785</x:v>
      </x:c>
      <x:c r="K634" t="str">
        <x:v>Annie Get Your Gun</x:v>
      </x:c>
      <x:c r="L634" t="n">
        <x:v>18400</x:v>
      </x:c>
      <x:c r="M634" t="n">
        <x:v>107</x:v>
      </x:c>
      <x:c r="N634" t="str">
        <x:v>Musical</x:v>
      </x:c>
      <x:c r="O634" t="str">
        <x:v>Charles Walters</x:v>
      </x:c>
      <x:c r="P634" t="str">
        <x:v>Metro-Goldwyn-Mayer</x:v>
      </x:c>
      <x:c r="Q634" t="str">
        <x:v>United States</x:v>
      </x:c>
      <x:c r="R634" t="str">
        <x:v>English</x:v>
      </x:c>
      <x:c r="S634" t="str">
        <x:v>U</x:v>
      </x:c>
      <x:c r="T634" t="n">
        <x:v>3734000</x:v>
      </x:c>
      <x:c r="U634" t="n">
        <x:v>7756000</x:v>
      </x:c>
      <x:c r="V634" t="n">
        <x:v>4</x:v>
      </x:c>
      <x:c r="W634" t="n">
        <x:v>1</x:v>
      </x:c>
    </x:row>
    <x:row r="635">
      <x:c r="J635" t="n">
        <x:v>796</x:v>
      </x:c>
      <x:c r="K635" t="str">
        <x:v>Sands of Iwo Jima</x:v>
      </x:c>
      <x:c r="L635" t="n">
        <x:v>18246</x:v>
      </x:c>
      <x:c r="M635" t="n">
        <x:v>100</x:v>
      </x:c>
      <x:c r="N635" t="str">
        <x:v>War</x:v>
      </x:c>
      <x:c r="O635" t="str">
        <x:v>Allan Dwan</x:v>
      </x:c>
      <x:c r="P635" t="str">
        <x:v>Republic Pictures</x:v>
      </x:c>
      <x:c r="Q635" t="str">
        <x:v>United States</x:v>
      </x:c>
      <x:c r="R635" t="str">
        <x:v>English</x:v>
      </x:c>
      <x:c r="S635" t="str">
        <x:v>PG</x:v>
      </x:c>
      <x:c r="T635" t="n">
        <x:v>1000000</x:v>
      </x:c>
      <x:c r="U635" t="n">
        <x:v>5000000</x:v>
      </x:c>
      <x:c r="V635" t="n">
        <x:v>4</x:v>
      </x:c>
      <x:c r="W635" t="n">
        <x:v>0</x:v>
      </x:c>
    </x:row>
    <x:row r="636">
      <x:c r="J636" t="n">
        <x:v>853</x:v>
      </x:c>
      <x:c r="K636" t="str">
        <x:v>For Whom the Bell Tolls</x:v>
      </x:c>
      <x:c r="L636" t="n">
        <x:v>15901</x:v>
      </x:c>
      <x:c r="M636" t="n">
        <x:v>170</x:v>
      </x:c>
      <x:c r="N636" t="str">
        <x:v>War</x:v>
      </x:c>
      <x:c r="O636" t="str">
        <x:v>Sam Wood</x:v>
      </x:c>
      <x:c r="P636" t="str">
        <x:v>Paramount Pictures</x:v>
      </x:c>
      <x:c r="Q636" t="str">
        <x:v>United States</x:v>
      </x:c>
      <x:c r="R636" t="str">
        <x:v>English</x:v>
      </x:c>
      <x:c r="S636" t="str">
        <x:v>U</x:v>
      </x:c>
      <x:c r="T636" t="n">
        <x:v>3000000</x:v>
      </x:c>
      <x:c r="U636" t="n">
        <x:v>7100000</x:v>
      </x:c>
      <x:c r="V636" t="n">
        <x:v>9</x:v>
      </x:c>
      <x:c r="W636" t="n">
        <x:v>1</x:v>
      </x:c>
    </x:row>
    <x:row r="637">
      <x:c r="J637" t="n">
        <x:v>858</x:v>
      </x:c>
      <x:c r="K637" t="str">
        <x:v>Casablanca</x:v>
      </x:c>
      <x:c r="L637" t="n">
        <x:v>15671</x:v>
      </x:c>
      <x:c r="M637" t="n">
        <x:v>102</x:v>
      </x:c>
      <x:c r="N637" t="str">
        <x:v>Drama</x:v>
      </x:c>
      <x:c r="O637" t="str">
        <x:v>Michael Curtiz</x:v>
      </x:c>
      <x:c r="P637" t="str">
        <x:v>Warner Bros. Pictures</x:v>
      </x:c>
      <x:c r="Q637" t="str">
        <x:v>United States</x:v>
      </x:c>
      <x:c r="R637" t="str">
        <x:v>English</x:v>
      </x:c>
      <x:c r="S637" t="str">
        <x:v>U</x:v>
      </x:c>
      <x:c r="T637" t="n">
        <x:v>878000</x:v>
      </x:c>
      <x:c r="U637" t="n">
        <x:v>3700000</x:v>
      </x:c>
      <x:c r="V637" t="n">
        <x:v>8</x:v>
      </x:c>
      <x:c r="W637" t="n">
        <x:v>3</x:v>
      </x:c>
    </x:row>
    <x:row r="638">
      <x:c r="J638" t="n">
        <x:v>885</x:v>
      </x:c>
      <x:c r="K638" t="str">
        <x:v>The Great Dictator</x:v>
      </x:c>
      <x:c r="L638" t="n">
        <x:v>14899</x:v>
      </x:c>
      <x:c r="M638" t="n">
        <x:v>124</x:v>
      </x:c>
      <x:c r="N638" t="str">
        <x:v>Comedy</x:v>
      </x:c>
      <x:c r="O638" t="str">
        <x:v>Charlie Chaplin</x:v>
      </x:c>
      <x:c r="P638" t="str">
        <x:v>Charles Chaplin Film Corporation</x:v>
      </x:c>
      <x:c r="Q638" t="str">
        <x:v>United States</x:v>
      </x:c>
      <x:c r="R638" t="str">
        <x:v>English</x:v>
      </x:c>
      <x:c r="S638" t="str">
        <x:v>U</x:v>
      </x:c>
      <x:c r="T638" t="n">
        <x:v>2000000</x:v>
      </x:c>
      <x:c r="U638" t="n">
        <x:v>5000000</x:v>
      </x:c>
      <x:c r="V638" t="n">
        <x:v>5</x:v>
      </x:c>
      <x:c r="W638" t="n">
        <x:v>0</x:v>
      </x:c>
    </x:row>
    <x:row r="639">
      <x:c r="J639" t="n">
        <x:v>887</x:v>
      </x:c>
      <x:c r="K639" t="str">
        <x:v>The Grapes of Wrath</x:v>
      </x:c>
      <x:c r="L639" t="n">
        <x:v>14634</x:v>
      </x:c>
      <x:c r="M639" t="n">
        <x:v>129</x:v>
      </x:c>
      <x:c r="N639" t="str">
        <x:v>Drama</x:v>
      </x:c>
      <x:c r="O639" t="str">
        <x:v>John Ford</x:v>
      </x:c>
      <x:c r="P639" t="str">
        <x:v>20th Century Fox</x:v>
      </x:c>
      <x:c r="Q639" t="str">
        <x:v>United States</x:v>
      </x:c>
      <x:c r="R639" t="str">
        <x:v>English</x:v>
      </x:c>
      <x:c r="S639" t="str">
        <x:v>PG</x:v>
      </x:c>
      <x:c r="T639" t="n">
        <x:v>800000</x:v>
      </x:c>
      <x:c r="U639" t="n">
        <x:v>2500000</x:v>
      </x:c>
      <x:c r="V639" t="n">
        <x:v>7</x:v>
      </x:c>
      <x:c r="W639" t="n">
        <x:v>2</x:v>
      </x:c>
    </x:row>
    <x:row r="640">
      <x:c r="J640" t="n">
        <x:v>893</x:v>
      </x:c>
      <x:c r="K640" t="str">
        <x:v>Gone with the Wind</x:v>
      </x:c>
      <x:c r="L640" t="n">
        <x:v>14594</x:v>
      </x:c>
      <x:c r="M640" t="n">
        <x:v>221</x:v>
      </x:c>
      <x:c r="N640" t="str">
        <x:v>Romance</x:v>
      </x:c>
      <x:c r="O640" t="str">
        <x:v>Victor Fleming</x:v>
      </x:c>
      <x:c r="P640" t="str">
        <x:v>Selznick International Pictures</x:v>
      </x:c>
      <x:c r="Q640" t="str">
        <x:v>United States</x:v>
      </x:c>
      <x:c r="R640" t="str">
        <x:v>English</x:v>
      </x:c>
      <x:c r="S640" t="str">
        <x:v>PG</x:v>
      </x:c>
      <x:c r="T640" t="n">
        <x:v>3850000</x:v>
      </x:c>
      <x:c r="U640" t="n">
        <x:v>198000000</x:v>
      </x:c>
      <x:c r="V640" t="n">
        <x:v>13</x:v>
      </x:c>
      <x:c r="W640" t="n">
        <x:v>8</x:v>
      </x:c>
    </x:row>
    <x:row r="641">
      <x:c r="J641" t="n">
        <x:v>899</x:v>
      </x:c>
      <x:c r="K641" t="str">
        <x:v>Goodbye, Mr. Chips</x:v>
      </x:c>
      <x:c r="L641" t="n">
        <x:v>14380</x:v>
      </x:c>
      <x:c r="M641" t="n">
        <x:v>114</x:v>
      </x:c>
      <x:c r="N641" t="str">
        <x:v>Drama</x:v>
      </x:c>
      <x:c r="O641" t="str">
        <x:v>Sam Wood</x:v>
      </x:c>
      <x:c r="P641" t="str">
        <x:v>Metro-Goldwyn-Mayer</x:v>
      </x:c>
      <x:c r="Q641" t="str">
        <x:v>United Kingdom</x:v>
      </x:c>
      <x:c r="R641" t="str">
        <x:v>English</x:v>
      </x:c>
      <x:c r="S641" t="str">
        <x:v>U</x:v>
      </x:c>
      <x:c r="T641" t="n">
        <x:v>1051000</x:v>
      </x:c>
      <x:c r="U641" t="n">
        <x:v>3252000</x:v>
      </x:c>
      <x:c r="V641" t="n">
        <x:v>7</x:v>
      </x:c>
      <x:c r="W641" t="n">
        <x:v>1</x:v>
      </x:c>
    </x:row>
    <x:row r="642">
      <x:c r="J642" t="n">
        <x:v>900</x:v>
      </x:c>
      <x:c r="K642" t="str">
        <x:v>The Wizard of Oz</x:v>
      </x:c>
      <x:c r="L642" t="n">
        <x:v>14482</x:v>
      </x:c>
      <x:c r="M642" t="n">
        <x:v>101</x:v>
      </x:c>
      <x:c r="N642" t="str">
        <x:v>Fantasy</x:v>
      </x:c>
      <x:c r="O642" t="str">
        <x:v>Victor Fleming</x:v>
      </x:c>
      <x:c r="P642" t="str">
        <x:v>Metro-Goldwyn-Mayer</x:v>
      </x:c>
      <x:c r="Q642" t="str">
        <x:v>United States</x:v>
      </x:c>
      <x:c r="R642" t="str">
        <x:v>English</x:v>
      </x:c>
      <x:c r="S642" t="str">
        <x:v>U</x:v>
      </x:c>
      <x:c r="T642" t="n">
        <x:v>2800000</x:v>
      </x:c>
      <x:c r="U642" t="n">
        <x:v>22300000</x:v>
      </x:c>
      <x:c r="V642" t="n">
        <x:v>6</x:v>
      </x:c>
      <x:c r="W642" t="n">
        <x:v>2</x:v>
      </x:c>
    </x:row>
    <x:row r="643">
      <x:c r="J643" t="n">
        <x:v>911</x:v>
      </x:c>
      <x:c r="K643" t="str">
        <x:v>Angels with Dirty Faces</x:v>
      </x:c>
      <x:c r="L643" t="n">
        <x:v>14210</x:v>
      </x:c>
      <x:c r="M643" t="n">
        <x:v>97</x:v>
      </x:c>
      <x:c r="N643" t="str">
        <x:v>Crime</x:v>
      </x:c>
      <x:c r="O643" t="str">
        <x:v>Michael Curtiz</x:v>
      </x:c>
      <x:c r="P643" t="str">
        <x:v>Warner Bros. Pictures</x:v>
      </x:c>
      <x:c r="Q643" t="str">
        <x:v>United States</x:v>
      </x:c>
      <x:c r="R643" t="str">
        <x:v>English</x:v>
      </x:c>
      <x:c r="S643" t="str">
        <x:v>PG</x:v>
      </x:c>
      <x:c r="T643"/>
      <x:c r="U643" t="n">
        <x:v>1700000</x:v>
      </x:c>
      <x:c r="V643" t="n">
        <x:v>3</x:v>
      </x:c>
      <x:c r="W643" t="n">
        <x:v>0</x:v>
      </x:c>
    </x:row>
    <x:row r="644">
      <x:c r="J644" t="n">
        <x:v>913</x:v>
      </x:c>
      <x:c r="K644" t="str">
        <x:v>Snow White and the Seven Dwarfs</x:v>
      </x:c>
      <x:c r="L644" t="n">
        <x:v>13870</x:v>
      </x:c>
      <x:c r="M644" t="n">
        <x:v>83</x:v>
      </x:c>
      <x:c r="N644" t="str">
        <x:v>Animation</x:v>
      </x:c>
      <x:c r="O644" t="str">
        <x:v>David Hand</x:v>
      </x:c>
      <x:c r="P644" t="str">
        <x:v>Walt Disney Pictures</x:v>
      </x:c>
      <x:c r="Q644" t="str">
        <x:v>United States</x:v>
      </x:c>
      <x:c r="R644" t="str">
        <x:v>English</x:v>
      </x:c>
      <x:c r="S644" t="str">
        <x:v>U</x:v>
      </x:c>
      <x:c r="T644" t="n">
        <x:v>2000000</x:v>
      </x:c>
      <x:c r="U644" t="n">
        <x:v>184925485</x:v>
      </x:c>
      <x:c r="V644" t="n">
        <x:v>1</x:v>
      </x:c>
      <x:c r="W644" t="n">
        <x:v>0</x:v>
      </x:c>
    </x:row>
    <x:row r="645">
      <x:c r="J645" t="n">
        <x:v>941</x:v>
      </x:c>
      <x:c r="K645" t="str">
        <x:v>Anna Karenina</x:v>
      </x:c>
      <x:c r="L645" t="n">
        <x:v>13026</x:v>
      </x:c>
      <x:c r="M645" t="n">
        <x:v>95</x:v>
      </x:c>
      <x:c r="N645" t="str">
        <x:v>Drama</x:v>
      </x:c>
      <x:c r="O645" t="str">
        <x:v>Clarence Brown</x:v>
      </x:c>
      <x:c r="P645" t="str">
        <x:v>Metro-Goldwyn-Mayer</x:v>
      </x:c>
      <x:c r="Q645" t="str">
        <x:v>United States</x:v>
      </x:c>
      <x:c r="R645" t="str">
        <x:v>English</x:v>
      </x:c>
      <x:c r="S645" t="str">
        <x:v>U</x:v>
      </x:c>
      <x:c r="T645" t="n">
        <x:v>1152000</x:v>
      </x:c>
      <x:c r="U645" t="n">
        <x:v>2304000</x:v>
      </x:c>
      <x:c r="V645" t="n">
        <x:v>0</x:v>
      </x:c>
      <x:c r="W645" t="n">
        <x:v>0</x:v>
      </x:c>
    </x:row>
    <x:row r="646">
      <x:c r="J646" t="n">
        <x:v>972</x:v>
      </x:c>
      <x:c r="K646" t="str">
        <x:v>Frankenstein</x:v>
      </x:c>
      <x:c r="L646" t="n">
        <x:v>11648</x:v>
      </x:c>
      <x:c r="M646" t="n">
        <x:v>71</x:v>
      </x:c>
      <x:c r="N646" t="str">
        <x:v>Horror</x:v>
      </x:c>
      <x:c r="O646" t="str">
        <x:v>James Whale</x:v>
      </x:c>
      <x:c r="P646" t="str">
        <x:v>Universal Pictures</x:v>
      </x:c>
      <x:c r="Q646" t="str">
        <x:v>United States</x:v>
      </x:c>
      <x:c r="R646" t="str">
        <x:v>English</x:v>
      </x:c>
      <x:c r="S646" t="str">
        <x:v>PG</x:v>
      </x:c>
      <x:c r="T646" t="n">
        <x:v>262000</x:v>
      </x:c>
      <x:c r="U646" t="n">
        <x:v>12000000</x:v>
      </x:c>
      <x:c r="V646" t="n">
        <x:v>0</x:v>
      </x:c>
      <x:c r="W646" t="n">
        <x:v>0</x:v>
      </x:c>
    </x:row>
    <x:row r="647">
      <x:c r="J647" t="n">
        <x:v>977</x:v>
      </x:c>
      <x:c r="K647" t="str">
        <x:v>Dracula</x:v>
      </x:c>
      <x:c r="L647" t="n">
        <x:v>11366</x:v>
      </x:c>
      <x:c r="M647" t="n">
        <x:v>85</x:v>
      </x:c>
      <x:c r="N647" t="str">
        <x:v>Horror</x:v>
      </x:c>
      <x:c r="O647" t="str">
        <x:v>Tod Browning</x:v>
      </x:c>
      <x:c r="P647" t="str">
        <x:v>Universal Pictures</x:v>
      </x:c>
      <x:c r="Q647" t="str">
        <x:v>United States</x:v>
      </x:c>
      <x:c r="R647" t="str">
        <x:v>English</x:v>
      </x:c>
      <x:c r="S647" t="str">
        <x:v>PG</x:v>
      </x:c>
      <x:c r="T647" t="n">
        <x:v>355000</x:v>
      </x:c>
      <x:c r="U647"/>
      <x:c r="V647" t="n">
        <x:v>0</x:v>
      </x:c>
      <x:c r="W647" t="n">
        <x:v>0</x:v>
      </x:c>
    </x:row>
    <x:row r="648">
      <x:c r="J648" t="n">
        <x:v>982</x:v>
      </x:c>
      <x:c r="K648" t="str">
        <x:v>All Quiet on the Western Front</x:v>
      </x:c>
      <x:c r="L648" t="n">
        <x:v>11069</x:v>
      </x:c>
      <x:c r="M648" t="n">
        <x:v>152</x:v>
      </x:c>
      <x:c r="N648" t="str">
        <x:v>War</x:v>
      </x:c>
      <x:c r="O648" t="str">
        <x:v>Lewis Milestone</x:v>
      </x:c>
      <x:c r="P648" t="str">
        <x:v>Universal Pictures</x:v>
      </x:c>
      <x:c r="Q648" t="str">
        <x:v>United States</x:v>
      </x:c>
      <x:c r="R648" t="str">
        <x:v>English</x:v>
      </x:c>
      <x:c r="S648" t="str">
        <x:v>PG</x:v>
      </x:c>
      <x:c r="T648" t="n">
        <x:v>1200000</x:v>
      </x:c>
      <x:c r="U648" t="n">
        <x:v>3000000</x:v>
      </x:c>
      <x:c r="V648" t="n">
        <x:v>4</x:v>
      </x:c>
      <x:c r="W648" t="n">
        <x:v>2</x:v>
      </x:c>
    </x:row>
    <x:row r="649">
      <x:c r="J649" t="n">
        <x:v>1063</x:v>
      </x:c>
      <x:c r="K649" t="str">
        <x:v>The Kid</x:v>
      </x:c>
      <x:c r="L649" t="n">
        <x:v>7692</x:v>
      </x:c>
      <x:c r="M649" t="n">
        <x:v>68</x:v>
      </x:c>
      <x:c r="N649" t="str">
        <x:v>Comedy</x:v>
      </x:c>
      <x:c r="O649" t="str">
        <x:v>Charlie Chaplin</x:v>
      </x:c>
      <x:c r="P649" t="str">
        <x:v>Charles Chaplin Film Corporation</x:v>
      </x:c>
      <x:c r="Q649" t="str">
        <x:v>United States</x:v>
      </x:c>
      <x:c r="R649" t="str">
        <x:v>Silent</x:v>
      </x:c>
      <x:c r="S649" t="str">
        <x:v>U</x:v>
      </x:c>
      <x:c r="T649" t="n">
        <x:v>250000</x:v>
      </x:c>
      <x:c r="U649" t="n">
        <x:v>2500000</x:v>
      </x:c>
      <x:c r="V649" t="n">
        <x:v>0</x:v>
      </x:c>
      <x:c r="W649" t="n">
        <x:v>0</x:v>
      </x:c>
    </x:row>
    <x:row r="650">
      <x:c r="J650" t="n">
        <x:v>1120</x:v>
      </x:c>
      <x:c r="K650" t="str">
        <x:v>Star Wars: The Force Awakens</x:v>
      </x:c>
      <x:c r="L650" t="n">
        <x:v>42355</x:v>
      </x:c>
      <x:c r="M650" t="n">
        <x:v>136</x:v>
      </x:c>
      <x:c r="N650" t="str">
        <x:v>Science Fiction</x:v>
      </x:c>
      <x:c r="O650" t="str">
        <x:v>J. J. Abrams</x:v>
      </x:c>
      <x:c r="P650" t="str">
        <x:v>Lucasfilm</x:v>
      </x:c>
      <x:c r="Q650" t="str">
        <x:v>United States</x:v>
      </x:c>
      <x:c r="R650" t="str">
        <x:v>English</x:v>
      </x:c>
      <x:c r="S650" t="str">
        <x:v>12A</x:v>
      </x:c>
      <x:c r="T650" t="n">
        <x:v>306000000</x:v>
      </x:c>
      <x:c r="U650" t="n">
        <x:v>2066000000</x:v>
      </x:c>
      <x:c r="V650" t="n">
        <x:v>5</x:v>
      </x:c>
      <x:c r="W650" t="n">
        <x:v>0</x:v>
      </x:c>
    </x:row>
    <x:row r="651">
      <x:c r="J651" t="n">
        <x:v>1121</x:v>
      </x:c>
      <x:c r="K651" t="str">
        <x:v>Jurassic World</x:v>
      </x:c>
      <x:c r="L651" t="n">
        <x:v>42167</x:v>
      </x:c>
      <x:c r="M651" t="n">
        <x:v>124</x:v>
      </x:c>
      <x:c r="N651" t="str">
        <x:v>Adventure</x:v>
      </x:c>
      <x:c r="O651" t="str">
        <x:v>Colin Trevorrow</x:v>
      </x:c>
      <x:c r="P651" t="str">
        <x:v>Amblin Entertainment</x:v>
      </x:c>
      <x:c r="Q651" t="str">
        <x:v>United States</x:v>
      </x:c>
      <x:c r="R651" t="str">
        <x:v>English</x:v>
      </x:c>
      <x:c r="S651" t="str">
        <x:v>12A</x:v>
      </x:c>
      <x:c r="T651" t="n">
        <x:v>150000000</x:v>
      </x:c>
      <x:c r="U651" t="n">
        <x:v>1670000000</x:v>
      </x:c>
      <x:c r="V651" t="n">
        <x:v>0</x:v>
      </x:c>
      <x:c r="W651" t="n">
        <x:v>0</x:v>
      </x:c>
    </x:row>
    <x:row r="652">
      <x:c r="J652" t="n">
        <x:v>1122</x:v>
      </x:c>
      <x:c r="K652" t="str">
        <x:v>Furious 7</x:v>
      </x:c>
      <x:c r="L652" t="n">
        <x:v>42097</x:v>
      </x:c>
      <x:c r="M652" t="n">
        <x:v>137</x:v>
      </x:c>
      <x:c r="N652" t="str">
        <x:v>Action</x:v>
      </x:c>
      <x:c r="O652" t="str">
        <x:v>James Wan</x:v>
      </x:c>
      <x:c r="P652" t="str">
        <x:v>Original Film</x:v>
      </x:c>
      <x:c r="Q652" t="str">
        <x:v>United States</x:v>
      </x:c>
      <x:c r="R652" t="str">
        <x:v>English</x:v>
      </x:c>
      <x:c r="S652" t="str">
        <x:v>12A</x:v>
      </x:c>
      <x:c r="T652" t="n">
        <x:v>190000000</x:v>
      </x:c>
      <x:c r="U652" t="n">
        <x:v>1516000000</x:v>
      </x:c>
      <x:c r="V652" t="n">
        <x:v>0</x:v>
      </x:c>
      <x:c r="W652" t="n">
        <x:v>0</x:v>
      </x:c>
    </x:row>
    <x:row r="653">
      <x:c r="J653" t="n">
        <x:v>1123</x:v>
      </x:c>
      <x:c r="K653" t="str">
        <x:v>Avengers: Age of Ultron</x:v>
      </x:c>
      <x:c r="L653" t="n">
        <x:v>42125</x:v>
      </x:c>
      <x:c r="M653" t="n">
        <x:v>141</x:v>
      </x:c>
      <x:c r="N653" t="str">
        <x:v>Action</x:v>
      </x:c>
      <x:c r="O653" t="str">
        <x:v>Joss Whedon</x:v>
      </x:c>
      <x:c r="P653" t="str">
        <x:v>Marvel Entertainment</x:v>
      </x:c>
      <x:c r="Q653" t="str">
        <x:v>United States</x:v>
      </x:c>
      <x:c r="R653" t="str">
        <x:v>English</x:v>
      </x:c>
      <x:c r="S653" t="str">
        <x:v>12A</x:v>
      </x:c>
      <x:c r="T653" t="n">
        <x:v>250000000</x:v>
      </x:c>
      <x:c r="U653" t="n">
        <x:v>1405000000</x:v>
      </x:c>
      <x:c r="V653" t="n">
        <x:v>0</x:v>
      </x:c>
      <x:c r="W653" t="n">
        <x:v>0</x:v>
      </x:c>
    </x:row>
    <x:row r="654">
      <x:c r="J654" t="n">
        <x:v>1124</x:v>
      </x:c>
      <x:c r="K654" t="str">
        <x:v>Minions</x:v>
      </x:c>
      <x:c r="L654" t="n">
        <x:v>42166</x:v>
      </x:c>
      <x:c r="M654" t="n">
        <x:v>91</x:v>
      </x:c>
      <x:c r="N654" t="str">
        <x:v>Animation</x:v>
      </x:c>
      <x:c r="O654" t="str">
        <x:v>Pierre Coffin</x:v>
      </x:c>
      <x:c r="P654" t="str">
        <x:v>Illumination Entertainment</x:v>
      </x:c>
      <x:c r="Q654" t="str">
        <x:v>United States</x:v>
      </x:c>
      <x:c r="R654" t="str">
        <x:v>English</x:v>
      </x:c>
      <x:c r="S654" t="str">
        <x:v>U</x:v>
      </x:c>
      <x:c r="T654" t="n">
        <x:v>74000000</x:v>
      </x:c>
      <x:c r="U654" t="n">
        <x:v>1159000000</x:v>
      </x:c>
      <x:c r="V654" t="n">
        <x:v>0</x:v>
      </x:c>
      <x:c r="W654" t="n">
        <x:v>0</x:v>
      </x:c>
    </x:row>
    <x:row r="655">
      <x:c r="J655" t="n">
        <x:v>1125</x:v>
      </x:c>
      <x:c r="K655" t="str">
        <x:v>Spectre</x:v>
      </x:c>
      <x:c r="L655" t="n">
        <x:v>42303</x:v>
      </x:c>
      <x:c r="M655" t="n">
        <x:v>148</x:v>
      </x:c>
      <x:c r="N655" t="str">
        <x:v>Thriller</x:v>
      </x:c>
      <x:c r="O655" t="str">
        <x:v>Sam Mendes</x:v>
      </x:c>
      <x:c r="P655" t="str">
        <x:v>Eon Productions</x:v>
      </x:c>
      <x:c r="Q655" t="str">
        <x:v>United Kingdom</x:v>
      </x:c>
      <x:c r="R655" t="str">
        <x:v>English</x:v>
      </x:c>
      <x:c r="S655" t="str">
        <x:v>12A</x:v>
      </x:c>
      <x:c r="T655" t="n">
        <x:v>245000000</x:v>
      </x:c>
      <x:c r="U655" t="n">
        <x:v>880700000</x:v>
      </x:c>
      <x:c r="V655" t="n">
        <x:v>1</x:v>
      </x:c>
      <x:c r="W655" t="n">
        <x:v>1</x:v>
      </x:c>
    </x:row>
    <x:row r="656">
      <x:c r="J656" t="n">
        <x:v>1126</x:v>
      </x:c>
      <x:c r="K656" t="str">
        <x:v>Inside Out</x:v>
      </x:c>
      <x:c r="L656" t="n">
        <x:v>42174</x:v>
      </x:c>
      <x:c r="M656" t="n">
        <x:v>94</x:v>
      </x:c>
      <x:c r="N656" t="str">
        <x:v>Animation</x:v>
      </x:c>
      <x:c r="O656" t="str">
        <x:v>Pete Docter</x:v>
      </x:c>
      <x:c r="P656" t="str">
        <x:v>Pixar Animation Studios</x:v>
      </x:c>
      <x:c r="Q656" t="str">
        <x:v>United States</x:v>
      </x:c>
      <x:c r="R656" t="str">
        <x:v>English</x:v>
      </x:c>
      <x:c r="S656" t="str">
        <x:v>U</x:v>
      </x:c>
      <x:c r="T656" t="n">
        <x:v>175000000</x:v>
      </x:c>
      <x:c r="U656" t="n">
        <x:v>857400000</x:v>
      </x:c>
      <x:c r="V656" t="n">
        <x:v>2</x:v>
      </x:c>
      <x:c r="W656" t="n">
        <x:v>1</x:v>
      </x:c>
    </x:row>
    <x:row r="657">
      <x:c r="J657" t="n">
        <x:v>1127</x:v>
      </x:c>
      <x:c r="K657" t="str">
        <x:v>Mission: Impossible - Rogue Nation</x:v>
      </x:c>
      <x:c r="L657" t="n">
        <x:v>42216</x:v>
      </x:c>
      <x:c r="M657" t="n">
        <x:v>131</x:v>
      </x:c>
      <x:c r="N657" t="str">
        <x:v>Action</x:v>
      </x:c>
      <x:c r="O657" t="str">
        <x:v>Christopher McQuarrie</x:v>
      </x:c>
      <x:c r="P657" t="str">
        <x:v>Cruise Wagner Productions</x:v>
      </x:c>
      <x:c r="Q657" t="str">
        <x:v>United States</x:v>
      </x:c>
      <x:c r="R657" t="str">
        <x:v>English</x:v>
      </x:c>
      <x:c r="S657" t="str">
        <x:v>12A</x:v>
      </x:c>
      <x:c r="T657" t="n">
        <x:v>150000000</x:v>
      </x:c>
      <x:c r="U657" t="n">
        <x:v>682300000</x:v>
      </x:c>
      <x:c r="V657" t="n">
        <x:v>0</x:v>
      </x:c>
      <x:c r="W657" t="n">
        <x:v>0</x:v>
      </x:c>
    </x:row>
    <x:row r="658">
      <x:c r="J658" t="n">
        <x:v>1128</x:v>
      </x:c>
      <x:c r="K658" t="str">
        <x:v>The Hunger Games: Mockingjay - Part 2</x:v>
      </x:c>
      <x:c r="L658" t="n">
        <x:v>42328</x:v>
      </x:c>
      <x:c r="M658" t="n">
        <x:v>137</x:v>
      </x:c>
      <x:c r="N658" t="str">
        <x:v>Science Fiction</x:v>
      </x:c>
      <x:c r="O658" t="str">
        <x:v>Francis Lawrence</x:v>
      </x:c>
      <x:c r="P658" t="str">
        <x:v>Color Force</x:v>
      </x:c>
      <x:c r="Q658" t="str">
        <x:v>United States</x:v>
      </x:c>
      <x:c r="R658" t="str">
        <x:v>English</x:v>
      </x:c>
      <x:c r="S658" t="str">
        <x:v>12A</x:v>
      </x:c>
      <x:c r="T658" t="n">
        <x:v>150000000</x:v>
      </x:c>
      <x:c r="U658" t="n">
        <x:v>653400000</x:v>
      </x:c>
      <x:c r="V658" t="n">
        <x:v>0</x:v>
      </x:c>
      <x:c r="W658" t="n">
        <x:v>0</x:v>
      </x:c>
    </x:row>
    <x:row r="659">
      <x:c r="J659" t="n">
        <x:v>1129</x:v>
      </x:c>
      <x:c r="K659" t="str">
        <x:v>The Martian</x:v>
      </x:c>
      <x:c r="L659" t="n">
        <x:v>42279</x:v>
      </x:c>
      <x:c r="M659" t="n">
        <x:v>141</x:v>
      </x:c>
      <x:c r="N659" t="str">
        <x:v>Science Fiction</x:v>
      </x:c>
      <x:c r="O659" t="str">
        <x:v>Ridley Scott</x:v>
      </x:c>
      <x:c r="P659" t="str">
        <x:v>Scott Free Productions</x:v>
      </x:c>
      <x:c r="Q659" t="str">
        <x:v>United States</x:v>
      </x:c>
      <x:c r="R659" t="str">
        <x:v>English</x:v>
      </x:c>
      <x:c r="S659" t="str">
        <x:v>12A</x:v>
      </x:c>
      <x:c r="T659" t="n">
        <x:v>108000000</x:v>
      </x:c>
      <x:c r="U659" t="n">
        <x:v>630200000</x:v>
      </x:c>
      <x:c r="V659" t="n">
        <x:v>7</x:v>
      </x:c>
      <x:c r="W659" t="n">
        <x:v>0</x:v>
      </x:c>
    </x:row>
    <x:row r="660">
      <x:c r="J660" t="n">
        <x:v>1130</x:v>
      </x:c>
      <x:c r="K660" t="str">
        <x:v>Captain America: Civil War</x:v>
      </x:c>
      <x:c r="L660" t="n">
        <x:v>42496</x:v>
      </x:c>
      <x:c r="M660" t="n">
        <x:v>147</x:v>
      </x:c>
      <x:c r="N660" t="str">
        <x:v>Action</x:v>
      </x:c>
      <x:c r="O660" t="str">
        <x:v>Anthony Russo</x:v>
      </x:c>
      <x:c r="P660" t="str">
        <x:v>Marvel Entertainment</x:v>
      </x:c>
      <x:c r="Q660" t="str">
        <x:v>United States</x:v>
      </x:c>
      <x:c r="R660" t="str">
        <x:v>English</x:v>
      </x:c>
      <x:c r="S660" t="str">
        <x:v>12A</x:v>
      </x:c>
      <x:c r="T660" t="n">
        <x:v>250000000</x:v>
      </x:c>
      <x:c r="U660" t="n">
        <x:v>1153000000</x:v>
      </x:c>
      <x:c r="V660" t="n">
        <x:v>0</x:v>
      </x:c>
      <x:c r="W660" t="n">
        <x:v>0</x:v>
      </x:c>
    </x:row>
    <x:row r="661">
      <x:c r="J661" t="n">
        <x:v>1131</x:v>
      </x:c>
      <x:c r="K661" t="str">
        <x:v>Finding Dory</x:v>
      </x:c>
      <x:c r="L661" t="n">
        <x:v>42538</x:v>
      </x:c>
      <x:c r="M661" t="n">
        <x:v>97</x:v>
      </x:c>
      <x:c r="N661" t="str">
        <x:v>Animation</x:v>
      </x:c>
      <x:c r="O661" t="str">
        <x:v>Andrew Stanton</x:v>
      </x:c>
      <x:c r="P661" t="str">
        <x:v>Pixar Animation Studios</x:v>
      </x:c>
      <x:c r="Q661" t="str">
        <x:v>United States</x:v>
      </x:c>
      <x:c r="R661" t="str">
        <x:v>English</x:v>
      </x:c>
      <x:c r="S661" t="str">
        <x:v>U</x:v>
      </x:c>
      <x:c r="T661" t="n">
        <x:v>200000000</x:v>
      </x:c>
      <x:c r="U661" t="n">
        <x:v>1025000000</x:v>
      </x:c>
      <x:c r="V661" t="n">
        <x:v>0</x:v>
      </x:c>
      <x:c r="W661" t="n">
        <x:v>0</x:v>
      </x:c>
    </x:row>
    <x:row r="662">
      <x:c r="J662" t="n">
        <x:v>1132</x:v>
      </x:c>
      <x:c r="K662" t="str">
        <x:v>Zootopia</x:v>
      </x:c>
      <x:c r="L662" t="n">
        <x:v>42464</x:v>
      </x:c>
      <x:c r="M662" t="n">
        <x:v>108</x:v>
      </x:c>
      <x:c r="N662" t="str">
        <x:v>Animation</x:v>
      </x:c>
      <x:c r="O662" t="str">
        <x:v>Byron Howard</x:v>
      </x:c>
      <x:c r="P662" t="str">
        <x:v>Walt Disney Pictures</x:v>
      </x:c>
      <x:c r="Q662" t="str">
        <x:v>United States</x:v>
      </x:c>
      <x:c r="R662" t="str">
        <x:v>English</x:v>
      </x:c>
      <x:c r="S662" t="str">
        <x:v>PG</x:v>
      </x:c>
      <x:c r="T662" t="n">
        <x:v>150000000</x:v>
      </x:c>
      <x:c r="U662" t="n">
        <x:v>1024000000</x:v>
      </x:c>
      <x:c r="V662" t="n">
        <x:v>0</x:v>
      </x:c>
      <x:c r="W662" t="n">
        <x:v>0</x:v>
      </x:c>
    </x:row>
    <x:row r="663">
      <x:c r="J663" t="n">
        <x:v>1133</x:v>
      </x:c>
      <x:c r="K663" t="str">
        <x:v>The Jungle Book</x:v>
      </x:c>
      <x:c r="L663" t="n">
        <x:v>42475</x:v>
      </x:c>
      <x:c r="M663" t="n">
        <x:v>105</x:v>
      </x:c>
      <x:c r="N663" t="str">
        <x:v>Adventure</x:v>
      </x:c>
      <x:c r="O663" t="str">
        <x:v>Jon Favreau</x:v>
      </x:c>
      <x:c r="P663" t="str">
        <x:v>Walt Disney Pictures</x:v>
      </x:c>
      <x:c r="Q663" t="str">
        <x:v>United States</x:v>
      </x:c>
      <x:c r="R663" t="str">
        <x:v>English</x:v>
      </x:c>
      <x:c r="S663" t="str">
        <x:v>PG</x:v>
      </x:c>
      <x:c r="T663" t="n">
        <x:v>175000000</x:v>
      </x:c>
      <x:c r="U663" t="n">
        <x:v>966500000</x:v>
      </x:c>
      <x:c r="V663" t="n">
        <x:v>0</x:v>
      </x:c>
      <x:c r="W663" t="n">
        <x:v>0</x:v>
      </x:c>
    </x:row>
    <x:row r="664">
      <x:c r="J664" t="n">
        <x:v>1134</x:v>
      </x:c>
      <x:c r="K664" t="str">
        <x:v>Batman v Superman: Dawn of Justice</x:v>
      </x:c>
      <x:c r="L664" t="n">
        <x:v>42454</x:v>
      </x:c>
      <x:c r="M664" t="n">
        <x:v>151</x:v>
      </x:c>
      <x:c r="N664" t="str">
        <x:v>Action</x:v>
      </x:c>
      <x:c r="O664" t="str">
        <x:v>Zack Snyder</x:v>
      </x:c>
      <x:c r="P664" t="str">
        <x:v>DC Entertainment</x:v>
      </x:c>
      <x:c r="Q664" t="str">
        <x:v>United States</x:v>
      </x:c>
      <x:c r="R664" t="str">
        <x:v>English</x:v>
      </x:c>
      <x:c r="S664" t="n">
        <x:v>12</x:v>
      </x:c>
      <x:c r="T664" t="n">
        <x:v>250000000</x:v>
      </x:c>
      <x:c r="U664" t="n">
        <x:v>873300000</x:v>
      </x:c>
      <x:c r="V664" t="n">
        <x:v>0</x:v>
      </x:c>
      <x:c r="W664" t="n">
        <x:v>0</x:v>
      </x:c>
    </x:row>
    <x:row r="665">
      <x:c r="J665" t="n">
        <x:v>1135</x:v>
      </x:c>
      <x:c r="K665" t="str">
        <x:v>The Secret Life of Pets</x:v>
      </x:c>
      <x:c r="L665" t="n">
        <x:v>42559</x:v>
      </x:c>
      <x:c r="M665" t="n">
        <x:v>87</x:v>
      </x:c>
      <x:c r="N665" t="str">
        <x:v>Animation</x:v>
      </x:c>
      <x:c r="O665" t="str">
        <x:v>Chris Renaud</x:v>
      </x:c>
      <x:c r="P665" t="str">
        <x:v>Illumination Entertainment</x:v>
      </x:c>
      <x:c r="Q665" t="str">
        <x:v>United States</x:v>
      </x:c>
      <x:c r="R665" t="str">
        <x:v>English</x:v>
      </x:c>
      <x:c r="S665" t="str">
        <x:v>U</x:v>
      </x:c>
      <x:c r="T665" t="n">
        <x:v>75000000</x:v>
      </x:c>
      <x:c r="U665" t="n">
        <x:v>873400000</x:v>
      </x:c>
      <x:c r="V665" t="n">
        <x:v>0</x:v>
      </x:c>
      <x:c r="W665" t="n">
        <x:v>0</x:v>
      </x:c>
    </x:row>
    <x:row r="666">
      <x:c r="J666" t="n">
        <x:v>1136</x:v>
      </x:c>
      <x:c r="K666" t="str">
        <x:v>Deadpool</x:v>
      </x:c>
      <x:c r="L666" t="n">
        <x:v>42412</x:v>
      </x:c>
      <x:c r="M666" t="n">
        <x:v>108</x:v>
      </x:c>
      <x:c r="N666" t="str">
        <x:v>Action</x:v>
      </x:c>
      <x:c r="O666" t="str">
        <x:v>Tim Miller</x:v>
      </x:c>
      <x:c r="P666" t="str">
        <x:v>Marvel Entertainment</x:v>
      </x:c>
      <x:c r="Q666" t="str">
        <x:v>United States</x:v>
      </x:c>
      <x:c r="R666" t="str">
        <x:v>English</x:v>
      </x:c>
      <x:c r="S666" t="n">
        <x:v>15</x:v>
      </x:c>
      <x:c r="T666" t="n">
        <x:v>58000000</x:v>
      </x:c>
      <x:c r="U666" t="n">
        <x:v>782600000</x:v>
      </x:c>
      <x:c r="V666" t="n">
        <x:v>0</x:v>
      </x:c>
      <x:c r="W666" t="n">
        <x:v>0</x:v>
      </x:c>
    </x:row>
    <x:row r="667">
      <x:c r="J667" t="n">
        <x:v>1137</x:v>
      </x:c>
      <x:c r="K667" t="str">
        <x:v>Suicide Squad</x:v>
      </x:c>
      <x:c r="L667" t="n">
        <x:v>42587</x:v>
      </x:c>
      <x:c r="M667" t="n">
        <x:v>123</x:v>
      </x:c>
      <x:c r="N667" t="str">
        <x:v>Action</x:v>
      </x:c>
      <x:c r="O667" t="str">
        <x:v>David Ayer</x:v>
      </x:c>
      <x:c r="P667" t="str">
        <x:v>DC Entertainment</x:v>
      </x:c>
      <x:c r="Q667" t="str">
        <x:v>United States</x:v>
      </x:c>
      <x:c r="R667" t="str">
        <x:v>English</x:v>
      </x:c>
      <x:c r="S667" t="n">
        <x:v>15</x:v>
      </x:c>
      <x:c r="T667" t="n">
        <x:v>175000000</x:v>
      </x:c>
      <x:c r="U667" t="n">
        <x:v>745600000</x:v>
      </x:c>
      <x:c r="V667" t="n">
        <x:v>0</x:v>
      </x:c>
      <x:c r="W667" t="n">
        <x:v>0</x:v>
      </x:c>
    </x:row>
    <x:row r="668">
      <x:c r="J668" t="n">
        <x:v>1138</x:v>
      </x:c>
      <x:c r="K668" t="str">
        <x:v>The Mermaid</x:v>
      </x:c>
      <x:c r="L668" t="n">
        <x:v>42408</x:v>
      </x:c>
      <x:c r="M668" t="n">
        <x:v>94</x:v>
      </x:c>
      <x:c r="N668" t="str">
        <x:v>Fantasy</x:v>
      </x:c>
      <x:c r="O668" t="str">
        <x:v>Stephen Chow</x:v>
      </x:c>
      <x:c r="P668" t="str">
        <x:v>China Film Group</x:v>
      </x:c>
      <x:c r="Q668" t="str">
        <x:v>China</x:v>
      </x:c>
      <x:c r="R668" t="str">
        <x:v>Mandarin</x:v>
      </x:c>
      <x:c r="S668" t="n">
        <x:v>15</x:v>
      </x:c>
      <x:c r="T668" t="n">
        <x:v>60720000</x:v>
      </x:c>
      <x:c r="U668" t="n">
        <x:v>553800000</x:v>
      </x:c>
      <x:c r="V668" t="n">
        <x:v>0</x:v>
      </x:c>
      <x:c r="W668" t="n">
        <x:v>0</x:v>
      </x:c>
    </x:row>
    <x:row r="669">
      <x:c r="J669" t="n">
        <x:v>1139</x:v>
      </x:c>
      <x:c r="K669" t="str">
        <x:v>X-Men: Apocalypse</x:v>
      </x:c>
      <x:c r="L669" t="n">
        <x:v>42499</x:v>
      </x:c>
      <x:c r="M669" t="n">
        <x:v>144</x:v>
      </x:c>
      <x:c r="N669" t="str">
        <x:v>Action</x:v>
      </x:c>
      <x:c r="O669" t="str">
        <x:v>Bryan Singer</x:v>
      </x:c>
      <x:c r="P669" t="str">
        <x:v>Marvel Entertainment</x:v>
      </x:c>
      <x:c r="Q669" t="str">
        <x:v>United States</x:v>
      </x:c>
      <x:c r="R669" t="str">
        <x:v>English</x:v>
      </x:c>
      <x:c r="S669" t="str">
        <x:v>12A</x:v>
      </x:c>
      <x:c r="T669" t="n">
        <x:v>178000000</x:v>
      </x:c>
      <x:c r="U669" t="n">
        <x:v>543900000</x:v>
      </x:c>
      <x:c r="V669" t="n">
        <x:v>0</x:v>
      </x:c>
      <x:c r="W669" t="n">
        <x:v>0</x:v>
      </x:c>
    </x:row>
    <x:row r="670">
      <x:c r="J670" t="n">
        <x:v>1140</x:v>
      </x:c>
      <x:c r="K670" t="str">
        <x:v>Doctor Strange</x:v>
      </x:c>
      <x:c r="L670" t="n">
        <x:v>42678</x:v>
      </x:c>
      <x:c r="M670" t="n">
        <x:v>115</x:v>
      </x:c>
      <x:c r="N670" t="str">
        <x:v>Action</x:v>
      </x:c>
      <x:c r="O670" t="str">
        <x:v>Scott Derrickson</x:v>
      </x:c>
      <x:c r="P670" t="str">
        <x:v>Marvel Entertainment</x:v>
      </x:c>
      <x:c r="Q670" t="str">
        <x:v>United States</x:v>
      </x:c>
      <x:c r="R670" t="str">
        <x:v>English</x:v>
      </x:c>
      <x:c r="S670" t="str">
        <x:v>12A</x:v>
      </x:c>
      <x:c r="T670" t="n">
        <x:v>165000000</x:v>
      </x:c>
      <x:c r="U670" t="n">
        <x:v>571500000</x:v>
      </x:c>
      <x:c r="V670" t="n">
        <x:v>0</x:v>
      </x:c>
      <x:c r="W670" t="n">
        <x:v>0</x:v>
      </x:c>
    </x:row>
    <x:row r="671">
      <x:c r="J671" t="n">
        <x:v>1141</x:v>
      </x:c>
      <x:c r="K671" t="str">
        <x:v>City of God</x:v>
      </x:c>
      <x:c r="L671" t="n">
        <x:v>37498</x:v>
      </x:c>
      <x:c r="M671" t="n">
        <x:v>130</x:v>
      </x:c>
      <x:c r="N671" t="str">
        <x:v>Crime</x:v>
      </x:c>
      <x:c r="O671" t="str">
        <x:v>Fernando Meirelles</x:v>
      </x:c>
      <x:c r="P671" t="str">
        <x:v>O2 Filmes</x:v>
      </x:c>
      <x:c r="Q671" t="str">
        <x:v>Brazil</x:v>
      </x:c>
      <x:c r="R671" t="str">
        <x:v>Portugese</x:v>
      </x:c>
      <x:c r="S671" t="n">
        <x:v>18</x:v>
      </x:c>
      <x:c r="T671" t="n">
        <x:v>3300000</x:v>
      </x:c>
      <x:c r="U671" t="n">
        <x:v>30600000</x:v>
      </x:c>
      <x:c r="V671" t="n">
        <x:v>4</x:v>
      </x:c>
      <x:c r="W671" t="n">
        <x:v>0</x:v>
      </x:c>
    </x:row>
    <x:row r="672">
      <x:c r="J672" t="n">
        <x:v>1142</x:v>
      </x:c>
      <x:c r="K672" t="str">
        <x:v>The Parent Trap</x:v>
      </x:c>
      <x:c r="L672" t="n">
        <x:v>36005</x:v>
      </x:c>
      <x:c r="M672" t="n">
        <x:v>128</x:v>
      </x:c>
      <x:c r="N672" t="str">
        <x:v>Comedy</x:v>
      </x:c>
      <x:c r="O672" t="str">
        <x:v>Nancy Meyers</x:v>
      </x:c>
      <x:c r="P672" t="str">
        <x:v>Walt Disney Pictures</x:v>
      </x:c>
      <x:c r="Q672" t="str">
        <x:v>United States</x:v>
      </x:c>
      <x:c r="R672" t="str">
        <x:v>English</x:v>
      </x:c>
      <x:c r="S672" t="str">
        <x:v>PG</x:v>
      </x:c>
      <x:c r="T672" t="n">
        <x:v>75000000</x:v>
      </x:c>
      <x:c r="U672" t="n">
        <x:v>83900000</x:v>
      </x:c>
      <x:c r="V672" t="n">
        <x:v>0</x:v>
      </x:c>
      <x:c r="W672" t="n">
        <x:v>0</x:v>
      </x:c>
    </x:row>
    <x:row r="673">
      <x:c r="J673" t="n">
        <x:v>1143</x:v>
      </x:c>
      <x:c r="K673" t="str">
        <x:v>Captain Blood</x:v>
      </x:c>
      <x:c r="L673" t="n">
        <x:v>13146</x:v>
      </x:c>
      <x:c r="M673" t="n">
        <x:v>119</x:v>
      </x:c>
      <x:c r="N673" t="str">
        <x:v>Adventure</x:v>
      </x:c>
      <x:c r="O673" t="str">
        <x:v>Michael Curtiz</x:v>
      </x:c>
      <x:c r="P673" t="str">
        <x:v>Cosmopolitan Productions</x:v>
      </x:c>
      <x:c r="Q673" t="str">
        <x:v>United States</x:v>
      </x:c>
      <x:c r="R673" t="str">
        <x:v>English</x:v>
      </x:c>
      <x:c r="S673" t="str">
        <x:v>PG</x:v>
      </x:c>
      <x:c r="T673" t="n">
        <x:v>1200000</x:v>
      </x:c>
      <x:c r="U673" t="n">
        <x:v>3100000</x:v>
      </x:c>
      <x:c r="V673" t="n">
        <x:v>5</x:v>
      </x:c>
      <x:c r="W673" t="n">
        <x:v>0</x:v>
      </x:c>
    </x:row>
    <x:row r="674">
      <x:c r="J674" t="n">
        <x:v>1144</x:v>
      </x:c>
      <x:c r="K674" t="str">
        <x:v>The Adventures of Robin Hood</x:v>
      </x:c>
      <x:c r="L674" t="n">
        <x:v>14014</x:v>
      </x:c>
      <x:c r="M674" t="n">
        <x:v>102</x:v>
      </x:c>
      <x:c r="N674" t="str">
        <x:v>Adventure</x:v>
      </x:c>
      <x:c r="O674" t="str">
        <x:v>Michael Curtiz</x:v>
      </x:c>
      <x:c r="P674" t="str">
        <x:v>Warner Bros. Pictures</x:v>
      </x:c>
      <x:c r="Q674" t="str">
        <x:v>United States</x:v>
      </x:c>
      <x:c r="R674" t="str">
        <x:v>English</x:v>
      </x:c>
      <x:c r="S674" t="str">
        <x:v>U</x:v>
      </x:c>
      <x:c r="T674" t="n">
        <x:v>2033000</x:v>
      </x:c>
      <x:c r="U674" t="n">
        <x:v>3981000</x:v>
      </x:c>
      <x:c r="V674" t="n">
        <x:v>4</x:v>
      </x:c>
      <x:c r="W674" t="n">
        <x:v>3</x:v>
      </x:c>
    </x:row>
    <x:row r="675">
      <x:c r="J675" t="n">
        <x:v>1145</x:v>
      </x:c>
      <x:c r="K675" t="str">
        <x:v>The Charge of the Light Brigade</x:v>
      </x:c>
      <x:c r="L675" t="n">
        <x:v>13443</x:v>
      </x:c>
      <x:c r="M675" t="n">
        <x:v>115</x:v>
      </x:c>
      <x:c r="N675" t="str">
        <x:v>Adventure</x:v>
      </x:c>
      <x:c r="O675" t="str">
        <x:v>Michael Curtiz</x:v>
      </x:c>
      <x:c r="P675" t="str">
        <x:v>Warner Bros. Pictures</x:v>
      </x:c>
      <x:c r="Q675" t="str">
        <x:v>United States</x:v>
      </x:c>
      <x:c r="R675" t="str">
        <x:v>English</x:v>
      </x:c>
      <x:c r="S675" t="str">
        <x:v>PG</x:v>
      </x:c>
      <x:c r="T675" t="n">
        <x:v>1330000</x:v>
      </x:c>
      <x:c r="U675" t="n">
        <x:v>3300000</x:v>
      </x:c>
      <x:c r="V675" t="n">
        <x:v>3</x:v>
      </x:c>
      <x:c r="W675" t="n">
        <x:v>1</x:v>
      </x:c>
    </x:row>
    <x:row r="676">
      <x:c r="J676" t="n">
        <x:v>1146</x:v>
      </x:c>
      <x:c r="K676" t="str">
        <x:v>The Hound of the Baskervilles</x:v>
      </x:c>
      <x:c r="L676" t="n">
        <x:v>14328</x:v>
      </x:c>
      <x:c r="M676" t="n">
        <x:v>81</x:v>
      </x:c>
      <x:c r="N676" t="str">
        <x:v>Mystery</x:v>
      </x:c>
      <x:c r="O676" t="str">
        <x:v>Sidney Lanfield</x:v>
      </x:c>
      <x:c r="P676" t="str">
        <x:v>20th Century Fox</x:v>
      </x:c>
      <x:c r="Q676" t="str">
        <x:v>United States</x:v>
      </x:c>
      <x:c r="R676" t="str">
        <x:v>English</x:v>
      </x:c>
      <x:c r="S676" t="str">
        <x:v>PG</x:v>
      </x:c>
      <x:c r="T676"/>
      <x:c r="U676"/>
      <x:c r="V676" t="n">
        <x:v>0</x:v>
      </x:c>
      <x:c r="W676" t="n">
        <x:v>0</x:v>
      </x:c>
    </x:row>
    <x:row r="677">
      <x:c r="J677" t="n">
        <x:v>1147</x:v>
      </x:c>
      <x:c r="K677" t="str">
        <x:v>The Adventures of Sherlock Holmes</x:v>
      </x:c>
      <x:c r="L677" t="n">
        <x:v>14489</x:v>
      </x:c>
      <x:c r="M677" t="n">
        <x:v>81</x:v>
      </x:c>
      <x:c r="N677" t="str">
        <x:v>Mystery</x:v>
      </x:c>
      <x:c r="O677" t="str">
        <x:v>Alfred L. Werker</x:v>
      </x:c>
      <x:c r="P677" t="str">
        <x:v>20th Century Fox</x:v>
      </x:c>
      <x:c r="Q677" t="str">
        <x:v>United States</x:v>
      </x:c>
      <x:c r="R677" t="str">
        <x:v>English</x:v>
      </x:c>
      <x:c r="S677" t="str">
        <x:v>PG</x:v>
      </x:c>
      <x:c r="T677"/>
      <x:c r="U677"/>
      <x:c r="V677" t="n">
        <x:v>0</x:v>
      </x:c>
      <x:c r="W677" t="n">
        <x:v>0</x:v>
      </x:c>
    </x:row>
    <x:row r="678">
      <x:c r="J678" t="n">
        <x:v>1148</x:v>
      </x:c>
      <x:c r="K678" t="str">
        <x:v>Mutiny on the Bounty</x:v>
      </x:c>
      <x:c r="L678" t="n">
        <x:v>13096</x:v>
      </x:c>
      <x:c r="M678" t="n">
        <x:v>132</x:v>
      </x:c>
      <x:c r="N678" t="str">
        <x:v>Drama</x:v>
      </x:c>
      <x:c r="O678" t="str">
        <x:v>Frank Lloyd</x:v>
      </x:c>
      <x:c r="P678" t="str">
        <x:v>Metro-Goldwyn-Mayer</x:v>
      </x:c>
      <x:c r="Q678" t="str">
        <x:v>United States</x:v>
      </x:c>
      <x:c r="R678" t="str">
        <x:v>English</x:v>
      </x:c>
      <x:c r="S678" t="str">
        <x:v>PG</x:v>
      </x:c>
      <x:c r="T678" t="n">
        <x:v>1950000</x:v>
      </x:c>
      <x:c r="U678" t="n">
        <x:v>4460000</x:v>
      </x:c>
      <x:c r="V678" t="n">
        <x:v>8</x:v>
      </x:c>
      <x:c r="W678" t="n">
        <x:v>1</x:v>
      </x:c>
    </x:row>
    <x:row r="679">
      <x:c r="J679" t="n">
        <x:v>1149</x:v>
      </x:c>
      <x:c r="K679" t="str">
        <x:v>The Misfits</x:v>
      </x:c>
      <x:c r="L679" t="n">
        <x:v>22313</x:v>
      </x:c>
      <x:c r="M679" t="n">
        <x:v>125</x:v>
      </x:c>
      <x:c r="N679" t="str">
        <x:v>Drama</x:v>
      </x:c>
      <x:c r="O679" t="str">
        <x:v>John Huston</x:v>
      </x:c>
      <x:c r="P679" t="str">
        <x:v>Seven Arts Productions</x:v>
      </x:c>
      <x:c r="Q679" t="str">
        <x:v>United States</x:v>
      </x:c>
      <x:c r="R679" t="str">
        <x:v>English</x:v>
      </x:c>
      <x:c r="S679" t="str">
        <x:v>PG</x:v>
      </x:c>
      <x:c r="T679" t="n">
        <x:v>4000000</x:v>
      </x:c>
      <x:c r="U679" t="n">
        <x:v>4100000</x:v>
      </x:c>
      <x:c r="V679" t="n">
        <x:v>0</x:v>
      </x:c>
      <x:c r="W679" t="n">
        <x:v>0</x:v>
      </x:c>
    </x:row>
    <x:row r="680">
      <x:c r="J680" t="n">
        <x:v>1150</x:v>
      </x:c>
      <x:c r="K680" t="str">
        <x:v>Lolita</x:v>
      </x:c>
      <x:c r="L680" t="n">
        <x:v>22810</x:v>
      </x:c>
      <x:c r="M680" t="n">
        <x:v>152</x:v>
      </x:c>
      <x:c r="N680" t="str">
        <x:v>Drama</x:v>
      </x:c>
      <x:c r="O680" t="str">
        <x:v>Stanley Kubrick</x:v>
      </x:c>
      <x:c r="P680" t="str">
        <x:v>Seven Arts Productions</x:v>
      </x:c>
      <x:c r="Q680" t="str">
        <x:v>United Kingdom</x:v>
      </x:c>
      <x:c r="R680" t="str">
        <x:v>English</x:v>
      </x:c>
      <x:c r="S680" t="n">
        <x:v>15</x:v>
      </x:c>
      <x:c r="T680" t="n">
        <x:v>2000000</x:v>
      </x:c>
      <x:c r="U680" t="n">
        <x:v>9250000</x:v>
      </x:c>
      <x:c r="V680" t="n">
        <x:v>1</x:v>
      </x:c>
      <x:c r="W680" t="n">
        <x:v>0</x:v>
      </x:c>
    </x:row>
    <x:row r="681">
      <x:c r="J681" t="n">
        <x:v>1151</x:v>
      </x:c>
      <x:c r="K681" t="str">
        <x:v>The 39 Steps</x:v>
      </x:c>
      <x:c r="L681" t="n">
        <x:v>12941</x:v>
      </x:c>
      <x:c r="M681" t="n">
        <x:v>86</x:v>
      </x:c>
      <x:c r="N681" t="str">
        <x:v>Thriller</x:v>
      </x:c>
      <x:c r="O681" t="str">
        <x:v>Alfred Hitchcock</x:v>
      </x:c>
      <x:c r="P681" t="str">
        <x:v>Gaumont</x:v>
      </x:c>
      <x:c r="Q681" t="str">
        <x:v>United Kingdom</x:v>
      </x:c>
      <x:c r="R681" t="str">
        <x:v>English</x:v>
      </x:c>
      <x:c r="S681" t="str">
        <x:v>U</x:v>
      </x:c>
      <x:c r="T681" t="n">
        <x:v>100000</x:v>
      </x:c>
      <x:c r="U681"/>
      <x:c r="V681" t="n">
        <x:v>0</x:v>
      </x:c>
      <x:c r="W681" t="n">
        <x:v>0</x:v>
      </x:c>
    </x:row>
    <x:row r="682">
      <x:c r="J682" t="n">
        <x:v>1152</x:v>
      </x:c>
      <x:c r="K682" t="str">
        <x:v>Citizen Kane</x:v>
      </x:c>
      <x:c r="L682" t="n">
        <x:v>15097</x:v>
      </x:c>
      <x:c r="M682" t="n">
        <x:v>119</x:v>
      </x:c>
      <x:c r="N682" t="str">
        <x:v>Drama</x:v>
      </x:c>
      <x:c r="O682" t="str">
        <x:v>Orson Welles</x:v>
      </x:c>
      <x:c r="P682" t="str">
        <x:v>Mercury Productions</x:v>
      </x:c>
      <x:c r="Q682" t="str">
        <x:v>United States</x:v>
      </x:c>
      <x:c r="R682" t="str">
        <x:v>English</x:v>
      </x:c>
      <x:c r="S682" t="str">
        <x:v>U</x:v>
      </x:c>
      <x:c r="T682" t="n">
        <x:v>839727</x:v>
      </x:c>
      <x:c r="U682" t="n">
        <x:v>1140769</x:v>
      </x:c>
      <x:c r="V682" t="n">
        <x:v>9</x:v>
      </x:c>
      <x:c r="W682" t="n">
        <x:v>1</x:v>
      </x:c>
    </x:row>
    <x:row r="683">
      <x:c r="J683" t="n">
        <x:v>1153</x:v>
      </x:c>
      <x:c r="K683" t="str">
        <x:v>Metropolis</x:v>
      </x:c>
      <x:c r="L683" t="n">
        <x:v>9872</x:v>
      </x:c>
      <x:c r="M683" t="n">
        <x:v>153</x:v>
      </x:c>
      <x:c r="N683" t="str">
        <x:v>Science Fiction</x:v>
      </x:c>
      <x:c r="O683" t="str">
        <x:v>Fritz Lang</x:v>
      </x:c>
      <x:c r="P683" t="str">
        <x:v>Universum Film</x:v>
      </x:c>
      <x:c r="Q683" t="str">
        <x:v>Germany</x:v>
      </x:c>
      <x:c r="R683" t="str">
        <x:v>Silent</x:v>
      </x:c>
      <x:c r="S683" t="str">
        <x:v>PG</x:v>
      </x:c>
      <x:c r="T683"/>
      <x:c r="U683"/>
      <x:c r="V683" t="n">
        <x:v>0</x:v>
      </x:c>
      <x:c r="W683" t="n">
        <x:v>0</x:v>
      </x:c>
    </x:row>
    <x:row r="684">
      <x:c r="J684" t="n">
        <x:v>1154</x:v>
      </x:c>
      <x:c r="K684" t="str">
        <x:v>Anna Karenina</x:v>
      </x:c>
      <x:c r="L684" t="n">
        <x:v>17554</x:v>
      </x:c>
      <x:c r="M684" t="n">
        <x:v>139</x:v>
      </x:c>
      <x:c r="N684" t="str">
        <x:v>Drama</x:v>
      </x:c>
      <x:c r="O684" t="str">
        <x:v>Julien Duvivier</x:v>
      </x:c>
      <x:c r="P684" t="str">
        <x:v>London Film Productions</x:v>
      </x:c>
      <x:c r="Q684" t="str">
        <x:v>United Kingdom</x:v>
      </x:c>
      <x:c r="R684" t="str">
        <x:v>English</x:v>
      </x:c>
      <x:c r="S684" t="str">
        <x:v>PG</x:v>
      </x:c>
      <x:c r="T684" t="n">
        <x:v>1000000</x:v>
      </x:c>
      <x:c r="U684"/>
      <x:c r="V684" t="n">
        <x:v>0</x:v>
      </x:c>
      <x:c r="W684" t="n">
        <x:v>0</x:v>
      </x:c>
    </x:row>
    <x:row r="685">
      <x:c r="J685" t="n">
        <x:v>1155</x:v>
      </x:c>
      <x:c r="K685" t="str">
        <x:v>Scarface</x:v>
      </x:c>
      <x:c r="L685" t="n">
        <x:v>11788</x:v>
      </x:c>
      <x:c r="M685" t="n">
        <x:v>95</x:v>
      </x:c>
      <x:c r="N685" t="str">
        <x:v>Crime</x:v>
      </x:c>
      <x:c r="O685" t="str">
        <x:v>Howard Hawks</x:v>
      </x:c>
      <x:c r="P685" t="str">
        <x:v>United Artists</x:v>
      </x:c>
      <x:c r="Q685" t="str">
        <x:v>United States</x:v>
      </x:c>
      <x:c r="R685" t="str">
        <x:v>English</x:v>
      </x:c>
      <x:c r="S685" t="n">
        <x:v>15</x:v>
      </x:c>
      <x:c r="T685"/>
      <x:c r="U685" t="n">
        <x:v>600000</x:v>
      </x:c>
      <x:c r="V685" t="n">
        <x:v>0</x:v>
      </x:c>
      <x:c r="W685" t="n">
        <x:v>0</x:v>
      </x:c>
    </x:row>
    <x:row r="686">
      <x:c r="J686" t="n">
        <x:v>1156</x:v>
      </x:c>
      <x:c r="K686" t="str">
        <x:v>The Public Enemy</x:v>
      </x:c>
      <x:c r="L686" t="n">
        <x:v>11436</x:v>
      </x:c>
      <x:c r="M686" t="n">
        <x:v>83</x:v>
      </x:c>
      <x:c r="N686" t="str">
        <x:v>Crime</x:v>
      </x:c>
      <x:c r="O686" t="str">
        <x:v>William A. Wellman</x:v>
      </x:c>
      <x:c r="P686" t="str">
        <x:v>Warner Bros. Pictures</x:v>
      </x:c>
      <x:c r="Q686" t="str">
        <x:v>United States</x:v>
      </x:c>
      <x:c r="R686" t="str">
        <x:v>English</x:v>
      </x:c>
      <x:c r="S686" t="str">
        <x:v>PG</x:v>
      </x:c>
      <x:c r="T686" t="n">
        <x:v>151000</x:v>
      </x:c>
      <x:c r="U686"/>
      <x:c r="V686" t="n">
        <x:v>1</x:v>
      </x:c>
      <x:c r="W686" t="n">
        <x:v>0</x:v>
      </x:c>
    </x:row>
    <x:row r="687">
      <x:c r="J687" t="n">
        <x:v>1157</x:v>
      </x:c>
      <x:c r="K687" t="str">
        <x:v>It's a Wonderful Life</x:v>
      </x:c>
      <x:c r="L687" t="n">
        <x:v>17156</x:v>
      </x:c>
      <x:c r="M687" t="n">
        <x:v>130</x:v>
      </x:c>
      <x:c r="N687" t="str">
        <x:v>Fantasy</x:v>
      </x:c>
      <x:c r="O687" t="str">
        <x:v>Frank Capra</x:v>
      </x:c>
      <x:c r="P687" t="str">
        <x:v>Liberty Films</x:v>
      </x:c>
      <x:c r="Q687" t="str">
        <x:v>United States</x:v>
      </x:c>
      <x:c r="R687" t="str">
        <x:v>English</x:v>
      </x:c>
      <x:c r="S687" t="str">
        <x:v>U</x:v>
      </x:c>
      <x:c r="T687" t="n">
        <x:v>3180000</x:v>
      </x:c>
      <x:c r="U687" t="n">
        <x:v>3300000</x:v>
      </x:c>
      <x:c r="V687" t="n">
        <x:v>5</x:v>
      </x:c>
      <x:c r="W687" t="n">
        <x:v>0</x:v>
      </x:c>
    </x:row>
    <x:row r="688">
      <x:c r="J688" t="n">
        <x:v>1158</x:v>
      </x:c>
      <x:c r="K688" t="str">
        <x:v>Mr. Smith Goes to Washington</x:v>
      </x:c>
      <x:c r="L688" t="n">
        <x:v>14535</x:v>
      </x:c>
      <x:c r="M688" t="n">
        <x:v>129</x:v>
      </x:c>
      <x:c r="N688" t="str">
        <x:v>Comedy</x:v>
      </x:c>
      <x:c r="O688" t="str">
        <x:v>Frank Capra</x:v>
      </x:c>
      <x:c r="P688" t="str">
        <x:v>Columbia Pictures</x:v>
      </x:c>
      <x:c r="Q688" t="str">
        <x:v>United States</x:v>
      </x:c>
      <x:c r="R688" t="str">
        <x:v>English</x:v>
      </x:c>
      <x:c r="S688" t="str">
        <x:v>U</x:v>
      </x:c>
      <x:c r="T688" t="n">
        <x:v>1500000</x:v>
      </x:c>
      <x:c r="U688" t="n">
        <x:v>9000000</x:v>
      </x:c>
      <x:c r="V688" t="n">
        <x:v>11</x:v>
      </x:c>
      <x:c r="W688" t="n">
        <x:v>1</x:v>
      </x:c>
    </x:row>
    <x:row r="689">
      <x:c r="J689" t="n">
        <x:v>1159</x:v>
      </x:c>
      <x:c r="K689" t="str">
        <x:v>Brief Encounter</x:v>
      </x:c>
      <x:c r="L689" t="n">
        <x:v>16767</x:v>
      </x:c>
      <x:c r="M689" t="n">
        <x:v>86</x:v>
      </x:c>
      <x:c r="N689" t="str">
        <x:v>Romance</x:v>
      </x:c>
      <x:c r="O689" t="str">
        <x:v>David Lean</x:v>
      </x:c>
      <x:c r="P689" t="str">
        <x:v>Cineguild</x:v>
      </x:c>
      <x:c r="Q689" t="str">
        <x:v>United Kingdom</x:v>
      </x:c>
      <x:c r="R689" t="str">
        <x:v>English</x:v>
      </x:c>
      <x:c r="S689" t="str">
        <x:v>PG</x:v>
      </x:c>
      <x:c r="T689" t="n">
        <x:v>1000000</x:v>
      </x:c>
      <x:c r="U689"/>
      <x:c r="V689" t="n">
        <x:v>3</x:v>
      </x:c>
      <x:c r="W689" t="n">
        <x:v>0</x:v>
      </x:c>
    </x:row>
    <x:row r="690">
      <x:c r="J690" t="n">
        <x:v>1160</x:v>
      </x:c>
      <x:c r="K690" t="str">
        <x:v>The Killers</x:v>
      </x:c>
      <x:c r="L690" t="n">
        <x:v>17042</x:v>
      </x:c>
      <x:c r="M690" t="n">
        <x:v>103</x:v>
      </x:c>
      <x:c r="N690" t="str">
        <x:v>Crime</x:v>
      </x:c>
      <x:c r="O690" t="str">
        <x:v>Robert Siodmak</x:v>
      </x:c>
      <x:c r="P690" t="str">
        <x:v>Universal Pictures</x:v>
      </x:c>
      <x:c r="Q690" t="str">
        <x:v>United States</x:v>
      </x:c>
      <x:c r="R690" t="str">
        <x:v>English</x:v>
      </x:c>
      <x:c r="S690" t="str">
        <x:v>PG</x:v>
      </x:c>
      <x:c r="T690"/>
      <x:c r="U690" t="n">
        <x:v>2500000</x:v>
      </x:c>
      <x:c r="V690" t="n">
        <x:v>4</x:v>
      </x:c>
      <x:c r="W690" t="n">
        <x:v>0</x:v>
      </x:c>
    </x:row>
    <x:row r="691">
      <x:c r="J691" t="n">
        <x:v>1161</x:v>
      </x:c>
      <x:c r="K691" t="str">
        <x:v>The Seventh Veil</x:v>
      </x:c>
      <x:c r="L691" t="n">
        <x:v>16728</x:v>
      </x:c>
      <x:c r="M691" t="n">
        <x:v>94</x:v>
      </x:c>
      <x:c r="N691" t="str">
        <x:v>Crime</x:v>
      </x:c>
      <x:c r="O691" t="str">
        <x:v>Compton Bennett</x:v>
      </x:c>
      <x:c r="P691" t="str">
        <x:v>Ortus Films</x:v>
      </x:c>
      <x:c r="Q691" t="str">
        <x:v>United Kingdom</x:v>
      </x:c>
      <x:c r="R691" t="str">
        <x:v>English</x:v>
      </x:c>
      <x:c r="S691" t="str">
        <x:v>PG</x:v>
      </x:c>
      <x:c r="T691" t="n">
        <x:v>100000</x:v>
      </x:c>
      <x:c r="U691" t="n">
        <x:v>2000000</x:v>
      </x:c>
      <x:c r="V691" t="n">
        <x:v>1</x:v>
      </x:c>
      <x:c r="W691" t="n">
        <x:v>1</x:v>
      </x:c>
    </x:row>
    <x:row r="692">
      <x:c r="J692" t="n">
        <x:v>1162</x:v>
      </x:c>
      <x:c r="K692" t="str">
        <x:v>Great Expectations</x:v>
      </x:c>
      <x:c r="L692" t="n">
        <x:v>17162</x:v>
      </x:c>
      <x:c r="M692" t="n">
        <x:v>113</x:v>
      </x:c>
      <x:c r="N692" t="str">
        <x:v>Drama</x:v>
      </x:c>
      <x:c r="O692" t="str">
        <x:v>David Lean</x:v>
      </x:c>
      <x:c r="P692" t="str">
        <x:v>Cineguild</x:v>
      </x:c>
      <x:c r="Q692" t="str">
        <x:v>United Kingdom</x:v>
      </x:c>
      <x:c r="R692" t="str">
        <x:v>English</x:v>
      </x:c>
      <x:c r="S692" t="str">
        <x:v>PG</x:v>
      </x:c>
      <x:c r="T692" t="n">
        <x:v>500000</x:v>
      </x:c>
      <x:c r="U692" t="n">
        <x:v>2000000</x:v>
      </x:c>
      <x:c r="V692" t="n">
        <x:v>5</x:v>
      </x:c>
      <x:c r="W692" t="n">
        <x:v>2</x:v>
      </x:c>
    </x:row>
    <x:row r="693">
      <x:c r="J693" t="n">
        <x:v>1163</x:v>
      </x:c>
      <x:c r="K693" t="str">
        <x:v>Miracle on 34th Street</x:v>
      </x:c>
      <x:c r="L693" t="n">
        <x:v>17289</x:v>
      </x:c>
      <x:c r="M693" t="n">
        <x:v>96</x:v>
      </x:c>
      <x:c r="N693" t="str">
        <x:v>Comedy</x:v>
      </x:c>
      <x:c r="O693" t="str">
        <x:v>George Seaton</x:v>
      </x:c>
      <x:c r="P693" t="str">
        <x:v>20th Century Fox</x:v>
      </x:c>
      <x:c r="Q693" t="str">
        <x:v>United States</x:v>
      </x:c>
      <x:c r="R693" t="str">
        <x:v>English</x:v>
      </x:c>
      <x:c r="S693" t="str">
        <x:v>U</x:v>
      </x:c>
      <x:c r="T693" t="n">
        <x:v>630000</x:v>
      </x:c>
      <x:c r="U693" t="n">
        <x:v>2650000</x:v>
      </x:c>
      <x:c r="V693" t="n">
        <x:v>4</x:v>
      </x:c>
      <x:c r="W693" t="n">
        <x:v>3</x:v>
      </x:c>
    </x:row>
    <x:row r="694">
      <x:c r="J694" t="n">
        <x:v>1164</x:v>
      </x:c>
      <x:c r="K694" t="str">
        <x:v>Hamlet</x:v>
      </x:c>
      <x:c r="L694" t="n">
        <x:v>17657</x:v>
      </x:c>
      <x:c r="M694" t="n">
        <x:v>155</x:v>
      </x:c>
      <x:c r="N694" t="str">
        <x:v>Drama</x:v>
      </x:c>
      <x:c r="O694" t="str">
        <x:v>Laurence Olivier</x:v>
      </x:c>
      <x:c r="P694" t="str">
        <x:v>Two Cities Films</x:v>
      </x:c>
      <x:c r="Q694" t="str">
        <x:v>United Kingdom</x:v>
      </x:c>
      <x:c r="R694" t="str">
        <x:v>English</x:v>
      </x:c>
      <x:c r="S694" t="str">
        <x:v>U</x:v>
      </x:c>
      <x:c r="T694" t="n">
        <x:v>750000</x:v>
      </x:c>
      <x:c r="U694" t="n">
        <x:v>3250000</x:v>
      </x:c>
      <x:c r="V694" t="n">
        <x:v>7</x:v>
      </x:c>
      <x:c r="W694" t="n">
        <x:v>4</x:v>
      </x:c>
    </x:row>
    <x:row r="695">
      <x:c r="J695" t="n">
        <x:v>1165</x:v>
      </x:c>
      <x:c r="K695" t="str">
        <x:v>Joan of Arc</x:v>
      </x:c>
      <x:c r="L695" t="n">
        <x:v>17848</x:v>
      </x:c>
      <x:c r="M695" t="n">
        <x:v>145</x:v>
      </x:c>
      <x:c r="N695" t="str">
        <x:v>Biography</x:v>
      </x:c>
      <x:c r="O695" t="str">
        <x:v>Victor Fleming</x:v>
      </x:c>
      <x:c r="P695" t="str">
        <x:v>Sierra Pictures</x:v>
      </x:c>
      <x:c r="Q695" t="str">
        <x:v>United States</x:v>
      </x:c>
      <x:c r="R695" t="str">
        <x:v>English</x:v>
      </x:c>
      <x:c r="S695" t="str">
        <x:v>U</x:v>
      </x:c>
      <x:c r="T695" t="n">
        <x:v>4650000</x:v>
      </x:c>
      <x:c r="U695" t="n">
        <x:v>5768142</x:v>
      </x:c>
      <x:c r="V695" t="n">
        <x:v>7</x:v>
      </x:c>
      <x:c r="W695" t="n">
        <x:v>2</x:v>
      </x:c>
    </x:row>
    <x:row r="696">
      <x:c r="J696" t="n">
        <x:v>1166</x:v>
      </x:c>
      <x:c r="K696" t="str">
        <x:v>The Three Musketeers</x:v>
      </x:c>
      <x:c r="L696" t="n">
        <x:v>17826</x:v>
      </x:c>
      <x:c r="M696" t="n">
        <x:v>125</x:v>
      </x:c>
      <x:c r="N696" t="str">
        <x:v>Adventure</x:v>
      </x:c>
      <x:c r="O696" t="str">
        <x:v>George Sidney</x:v>
      </x:c>
      <x:c r="P696" t="str">
        <x:v>Metro-Goldwyn-Mayer</x:v>
      </x:c>
      <x:c r="Q696" t="str">
        <x:v>United States</x:v>
      </x:c>
      <x:c r="R696" t="str">
        <x:v>English</x:v>
      </x:c>
      <x:c r="S696" t="str">
        <x:v>U</x:v>
      </x:c>
      <x:c r="T696" t="n">
        <x:v>4474000</x:v>
      </x:c>
      <x:c r="U696" t="n">
        <x:v>8412000</x:v>
      </x:c>
      <x:c r="V696" t="n">
        <x:v>1</x:v>
      </x:c>
      <x:c r="W696" t="n">
        <x:v>0</x:v>
      </x:c>
    </x:row>
    <x:row r="697">
      <x:c r="J697" t="n">
        <x:v>1167</x:v>
      </x:c>
      <x:c r="K697" t="str">
        <x:v>The Big Boss</x:v>
      </x:c>
      <x:c r="L697" t="n">
        <x:v>26209</x:v>
      </x:c>
      <x:c r="M697" t="n">
        <x:v>110</x:v>
      </x:c>
      <x:c r="N697" t="str">
        <x:v>Martial Arts</x:v>
      </x:c>
      <x:c r="O697" t="str">
        <x:v>Lo Wei</x:v>
      </x:c>
      <x:c r="P697" t="str">
        <x:v>Golden Harvest</x:v>
      </x:c>
      <x:c r="Q697" t="str">
        <x:v>Hong Kong</x:v>
      </x:c>
      <x:c r="R697" t="str">
        <x:v>Cantonese</x:v>
      </x:c>
      <x:c r="S697" t="n">
        <x:v>18</x:v>
      </x:c>
      <x:c r="T697" t="n">
        <x:v>100000</x:v>
      </x:c>
      <x:c r="U697" t="n">
        <x:v>2800000</x:v>
      </x:c>
      <x:c r="V697" t="n">
        <x:v>0</x:v>
      </x:c>
      <x:c r="W697" t="n">
        <x:v>0</x:v>
      </x:c>
    </x:row>
    <x:row r="698">
      <x:c r="J698" t="n">
        <x:v>1168</x:v>
      </x:c>
      <x:c r="K698" t="str">
        <x:v>Fist of Fury</x:v>
      </x:c>
      <x:c r="L698" t="n">
        <x:v>26380</x:v>
      </x:c>
      <x:c r="M698" t="n">
        <x:v>108</x:v>
      </x:c>
      <x:c r="N698" t="str">
        <x:v>Martial Arts</x:v>
      </x:c>
      <x:c r="O698" t="str">
        <x:v>Lo Wei</x:v>
      </x:c>
      <x:c r="P698" t="str">
        <x:v>Golden Harvest</x:v>
      </x:c>
      <x:c r="Q698" t="str">
        <x:v>Hong Kong</x:v>
      </x:c>
      <x:c r="R698" t="str">
        <x:v>Mandarin</x:v>
      </x:c>
      <x:c r="S698" t="n">
        <x:v>18</x:v>
      </x:c>
      <x:c r="T698" t="n">
        <x:v>100000</x:v>
      </x:c>
      <x:c r="U698" t="n">
        <x:v>3400000</x:v>
      </x:c>
      <x:c r="V698" t="n">
        <x:v>0</x:v>
      </x:c>
      <x:c r="W698" t="n">
        <x:v>0</x:v>
      </x:c>
    </x:row>
    <x:row r="699">
      <x:c r="J699" t="n">
        <x:v>1169</x:v>
      </x:c>
      <x:c r="K699" t="str">
        <x:v>Way of the Dragon</x:v>
      </x:c>
      <x:c r="L699" t="n">
        <x:v>26663</x:v>
      </x:c>
      <x:c r="M699" t="n">
        <x:v>100</x:v>
      </x:c>
      <x:c r="N699" t="str">
        <x:v>Martial Arts</x:v>
      </x:c>
      <x:c r="O699" t="str">
        <x:v>Bruce Lee</x:v>
      </x:c>
      <x:c r="P699" t="str">
        <x:v>Golden Harvest</x:v>
      </x:c>
      <x:c r="Q699" t="str">
        <x:v>Hong Kong</x:v>
      </x:c>
      <x:c r="R699" t="str">
        <x:v>Mandarin</x:v>
      </x:c>
      <x:c r="S699" t="n">
        <x:v>18</x:v>
      </x:c>
      <x:c r="T699" t="n">
        <x:v>130000</x:v>
      </x:c>
      <x:c r="U699" t="n">
        <x:v>5200000</x:v>
      </x:c>
      <x:c r="V699" t="n">
        <x:v>0</x:v>
      </x:c>
      <x:c r="W699" t="n">
        <x:v>0</x:v>
      </x:c>
    </x:row>
    <x:row r="700">
      <x:c r="J700" t="n">
        <x:v>1170</x:v>
      </x:c>
      <x:c r="K700" t="str">
        <x:v>Game of Death</x:v>
      </x:c>
      <x:c r="L700" t="n">
        <x:v>28572</x:v>
      </x:c>
      <x:c r="M700" t="n">
        <x:v>85</x:v>
      </x:c>
      <x:c r="N700" t="str">
        <x:v>Martial Arts</x:v>
      </x:c>
      <x:c r="O700" t="str">
        <x:v>Robert Clouse</x:v>
      </x:c>
      <x:c r="P700" t="str">
        <x:v>Golden Harvest</x:v>
      </x:c>
      <x:c r="Q700" t="str">
        <x:v>Hong Kong</x:v>
      </x:c>
      <x:c r="R700" t="str">
        <x:v>Cantonese</x:v>
      </x:c>
      <x:c r="S700" t="n">
        <x:v>18</x:v>
      </x:c>
      <x:c r="T700" t="n">
        <x:v>850000</x:v>
      </x:c>
      <x:c r="U700"/>
      <x:c r="V700" t="n">
        <x:v>0</x:v>
      </x:c>
      <x:c r="W700" t="n">
        <x:v>0</x:v>
      </x:c>
    </x:row>
    <x:row r="701">
      <x:c r="J701" t="n">
        <x:v>1171</x:v>
      </x:c>
      <x:c r="K701" t="str">
        <x:v>Enter the Dragon</x:v>
      </x:c>
      <x:c r="L701" t="n">
        <x:v>26871</x:v>
      </x:c>
      <x:c r="M701" t="n">
        <x:v>102</x:v>
      </x:c>
      <x:c r="N701" t="str">
        <x:v>Martial Arts</x:v>
      </x:c>
      <x:c r="O701" t="str">
        <x:v>Robert Clouse</x:v>
      </x:c>
      <x:c r="P701" t="str">
        <x:v>Warner Bros. Pictures</x:v>
      </x:c>
      <x:c r="Q701" t="str">
        <x:v>Hong Kong</x:v>
      </x:c>
      <x:c r="R701" t="str">
        <x:v>English</x:v>
      </x:c>
      <x:c r="S701" t="n">
        <x:v>18</x:v>
      </x:c>
      <x:c r="T701" t="n">
        <x:v>850000</x:v>
      </x:c>
      <x:c r="U701" t="n">
        <x:v>22000000</x:v>
      </x:c>
      <x:c r="V701" t="n">
        <x:v>0</x:v>
      </x:c>
      <x:c r="W701" t="n">
        <x:v>0</x:v>
      </x:c>
    </x:row>
    <x:row r="702">
      <x:c r="J702" t="n">
        <x:v>1172</x:v>
      </x:c>
      <x:c r="K702" t="str">
        <x:v>Monty Python and the Holy Grail</x:v>
      </x:c>
      <x:c r="L702" t="n">
        <x:v>27493</x:v>
      </x:c>
      <x:c r="M702" t="n">
        <x:v>92</x:v>
      </x:c>
      <x:c r="N702" t="str">
        <x:v>Comedy</x:v>
      </x:c>
      <x:c r="O702" t="str">
        <x:v>Terry Gilliam</x:v>
      </x:c>
      <x:c r="P702" t="str">
        <x:v>Python (Monty) Pictures</x:v>
      </x:c>
      <x:c r="Q702" t="str">
        <x:v>United Kingdom</x:v>
      </x:c>
      <x:c r="R702" t="str">
        <x:v>English</x:v>
      </x:c>
      <x:c r="S702" t="n">
        <x:v>15</x:v>
      </x:c>
      <x:c r="T702" t="n">
        <x:v>400000</x:v>
      </x:c>
      <x:c r="U702" t="n">
        <x:v>5000000</x:v>
      </x:c>
      <x:c r="V702" t="n">
        <x:v>0</x:v>
      </x:c>
      <x:c r="W702" t="n">
        <x:v>0</x:v>
      </x:c>
    </x:row>
    <x:row r="703">
      <x:c r="J703" t="n">
        <x:v>1173</x:v>
      </x:c>
      <x:c r="K703" t="str">
        <x:v>Monty Python's Life of Brian</x:v>
      </x:c>
      <x:c r="L703" t="n">
        <x:v>29084</x:v>
      </x:c>
      <x:c r="M703" t="n">
        <x:v>93</x:v>
      </x:c>
      <x:c r="N703" t="str">
        <x:v>Comedy</x:v>
      </x:c>
      <x:c r="O703" t="str">
        <x:v>Terry Jones</x:v>
      </x:c>
      <x:c r="P703" t="str">
        <x:v>Python (Monty) Pictures</x:v>
      </x:c>
      <x:c r="Q703" t="str">
        <x:v>United Kingdom</x:v>
      </x:c>
      <x:c r="R703" t="str">
        <x:v>English</x:v>
      </x:c>
      <x:c r="S703" t="n">
        <x:v>15</x:v>
      </x:c>
      <x:c r="T703" t="n">
        <x:v>4000000</x:v>
      </x:c>
      <x:c r="U703" t="n">
        <x:v>20000000</x:v>
      </x:c>
      <x:c r="V703" t="n">
        <x:v>0</x:v>
      </x:c>
      <x:c r="W703" t="n">
        <x:v>0</x:v>
      </x:c>
    </x:row>
    <x:row r="704">
      <x:c r="J704" t="n">
        <x:v>1174</x:v>
      </x:c>
      <x:c r="K704" t="str">
        <x:v>Drunken Master</x:v>
      </x:c>
      <x:c r="L704" t="n">
        <x:v>28768</x:v>
      </x:c>
      <x:c r="M704" t="n">
        <x:v>110</x:v>
      </x:c>
      <x:c r="N704" t="str">
        <x:v>Martial Arts</x:v>
      </x:c>
      <x:c r="O704" t="str">
        <x:v>Woo-ping Yuen</x:v>
      </x:c>
      <x:c r="P704" t="str">
        <x:v>Seasonal Film Corporation</x:v>
      </x:c>
      <x:c r="Q704" t="str">
        <x:v>Hong Kong</x:v>
      </x:c>
      <x:c r="R704" t="str">
        <x:v>Cantonese</x:v>
      </x:c>
      <x:c r="S704" t="n">
        <x:v>15</x:v>
      </x:c>
      <x:c r="T704"/>
      <x:c r="U704"/>
      <x:c r="V704" t="n">
        <x:v>0</x:v>
      </x:c>
      <x:c r="W704" t="n">
        <x:v>0</x:v>
      </x:c>
    </x:row>
    <x:row r="705">
      <x:c r="J705" t="n">
        <x:v>1175</x:v>
      </x:c>
      <x:c r="K705" t="str">
        <x:v>Half a Loaf of Kung Fu</x:v>
      </x:c>
      <x:c r="L705" t="n">
        <x:v>28672</x:v>
      </x:c>
      <x:c r="M705" t="n">
        <x:v>98</x:v>
      </x:c>
      <x:c r="N705" t="str">
        <x:v>Martial Arts</x:v>
      </x:c>
      <x:c r="O705" t="str">
        <x:v>Chi-hwa Chen</x:v>
      </x:c>
      <x:c r="P705" t="str">
        <x:v>Lo Wei Motion Picture Company</x:v>
      </x:c>
      <x:c r="Q705" t="str">
        <x:v>Hong Kong</x:v>
      </x:c>
      <x:c r="R705" t="str">
        <x:v>Mandarin</x:v>
      </x:c>
      <x:c r="S705" t="n">
        <x:v>18</x:v>
      </x:c>
      <x:c r="T705"/>
      <x:c r="U705"/>
      <x:c r="V705" t="n">
        <x:v>0</x:v>
      </x:c>
      <x:c r="W705" t="n">
        <x:v>0</x:v>
      </x:c>
    </x:row>
    <x:row r="706">
      <x:c r="J706" t="n">
        <x:v>1176</x:v>
      </x:c>
      <x:c r="K706" t="str">
        <x:v>Snake and Crane Arts of Shaolin</x:v>
      </x:c>
      <x:c r="L706" t="n">
        <x:v>28557</x:v>
      </x:c>
      <x:c r="M706" t="n">
        <x:v>93</x:v>
      </x:c>
      <x:c r="N706" t="str">
        <x:v>Martial Arts</x:v>
      </x:c>
      <x:c r="O706" t="str">
        <x:v>Chi-hwa Chen</x:v>
      </x:c>
      <x:c r="P706" t="str">
        <x:v>Lo Wei Motion Picture Company</x:v>
      </x:c>
      <x:c r="Q706" t="str">
        <x:v>Hong Kong</x:v>
      </x:c>
      <x:c r="R706" t="str">
        <x:v>Mandarin</x:v>
      </x:c>
      <x:c r="S706" t="n">
        <x:v>15</x:v>
      </x:c>
      <x:c r="T706"/>
      <x:c r="U706"/>
      <x:c r="V706" t="n">
        <x:v>0</x:v>
      </x:c>
      <x:c r="W706" t="n">
        <x:v>0</x:v>
      </x:c>
    </x:row>
    <x:row r="707">
      <x:c r="J707" t="n">
        <x:v>1177</x:v>
      </x:c>
      <x:c r="K707" t="str">
        <x:v>The Fearless Hyena</x:v>
      </x:c>
      <x:c r="L707" t="n">
        <x:v>28903</x:v>
      </x:c>
      <x:c r="M707" t="n">
        <x:v>97</x:v>
      </x:c>
      <x:c r="N707" t="str">
        <x:v>Martial Arts</x:v>
      </x:c>
      <x:c r="O707" t="str">
        <x:v>Jackie Chan</x:v>
      </x:c>
      <x:c r="P707" t="str">
        <x:v>Good Year Movie Company</x:v>
      </x:c>
      <x:c r="Q707" t="str">
        <x:v>Hong Kong</x:v>
      </x:c>
      <x:c r="R707" t="str">
        <x:v>Cantonese</x:v>
      </x:c>
      <x:c r="S707" t="n">
        <x:v>18</x:v>
      </x:c>
      <x:c r="T707"/>
      <x:c r="U707"/>
      <x:c r="V707" t="n">
        <x:v>0</x:v>
      </x:c>
      <x:c r="W707" t="n">
        <x:v>0</x:v>
      </x:c>
    </x:row>
    <x:row r="708">
      <x:c r="J708" t="n">
        <x:v>1178</x:v>
      </x:c>
      <x:c r="K708" t="str">
        <x:v>Snake in the Eagle's Shadow</x:v>
      </x:c>
      <x:c r="L708" t="n">
        <x:v>28550</x:v>
      </x:c>
      <x:c r="M708" t="n">
        <x:v>98</x:v>
      </x:c>
      <x:c r="N708" t="str">
        <x:v>Martial Arts</x:v>
      </x:c>
      <x:c r="O708" t="str">
        <x:v>Woo-ping Yuen</x:v>
      </x:c>
      <x:c r="P708" t="str">
        <x:v>Seasonal Film Corporation</x:v>
      </x:c>
      <x:c r="Q708" t="str">
        <x:v>Hong Kong</x:v>
      </x:c>
      <x:c r="R708" t="str">
        <x:v>Cantonese</x:v>
      </x:c>
      <x:c r="S708" t="n">
        <x:v>18</x:v>
      </x:c>
      <x:c r="T708"/>
      <x:c r="U708"/>
      <x:c r="V708" t="n">
        <x:v>0</x:v>
      </x:c>
      <x:c r="W708" t="n">
        <x:v>0</x:v>
      </x:c>
    </x:row>
    <x:row r="709">
      <x:c r="J709" t="n">
        <x:v>1179</x:v>
      </x:c>
      <x:c r="K709" t="str">
        <x:v>Spiritual Kung Fu</x:v>
      </x:c>
      <x:c r="L709" t="n">
        <x:v>28817</x:v>
      </x:c>
      <x:c r="M709" t="n">
        <x:v>97</x:v>
      </x:c>
      <x:c r="N709" t="str">
        <x:v>Martial Arts</x:v>
      </x:c>
      <x:c r="O709" t="str">
        <x:v>Lo Wei</x:v>
      </x:c>
      <x:c r="P709" t="str">
        <x:v>Lo Wei Motion Picture Company</x:v>
      </x:c>
      <x:c r="Q709" t="str">
        <x:v>Hong Kong</x:v>
      </x:c>
      <x:c r="R709" t="str">
        <x:v>Mandarin</x:v>
      </x:c>
      <x:c r="S709" t="n">
        <x:v>15</x:v>
      </x:c>
      <x:c r="T709"/>
      <x:c r="U709"/>
      <x:c r="V709" t="n">
        <x:v>0</x:v>
      </x:c>
      <x:c r="W709" t="n">
        <x:v>0</x:v>
      </x:c>
    </x:row>
    <x:row r="710">
      <x:c r="J710" t="n">
        <x:v>1180</x:v>
      </x:c>
      <x:c r="K710" t="str">
        <x:v>Dragon Fist</x:v>
      </x:c>
      <x:c r="L710" t="n">
        <x:v>28966</x:v>
      </x:c>
      <x:c r="M710" t="n">
        <x:v>93</x:v>
      </x:c>
      <x:c r="N710" t="str">
        <x:v>Martial Arts</x:v>
      </x:c>
      <x:c r="O710" t="str">
        <x:v>Lo Wei</x:v>
      </x:c>
      <x:c r="P710" t="str">
        <x:v>Lo Wei Motion Picture Company</x:v>
      </x:c>
      <x:c r="Q710" t="str">
        <x:v>Hong Kong</x:v>
      </x:c>
      <x:c r="R710" t="str">
        <x:v>Mandarin</x:v>
      </x:c>
      <x:c r="S710" t="n">
        <x:v>15</x:v>
      </x:c>
      <x:c r="T710"/>
      <x:c r="U710"/>
      <x:c r="V710" t="n">
        <x:v>0</x:v>
      </x:c>
      <x:c r="W710" t="n">
        <x:v>0</x:v>
      </x:c>
    </x:row>
    <x:row r="711">
      <x:c r="J711" t="n">
        <x:v>1181</x:v>
      </x:c>
      <x:c r="K711" t="str">
        <x:v>Magnificent Bodyguards</x:v>
      </x:c>
      <x:c r="L711" t="n">
        <x:v>28607</x:v>
      </x:c>
      <x:c r="M711" t="n">
        <x:v>78</x:v>
      </x:c>
      <x:c r="N711" t="str">
        <x:v>Martial Arts</x:v>
      </x:c>
      <x:c r="O711" t="str">
        <x:v>Lo Wei</x:v>
      </x:c>
      <x:c r="P711" t="str">
        <x:v>Lo Wei Motion Picture Company</x:v>
      </x:c>
      <x:c r="Q711" t="str">
        <x:v>Hong Kong</x:v>
      </x:c>
      <x:c r="R711" t="str">
        <x:v>Mandarin</x:v>
      </x:c>
      <x:c r="S711" t="n">
        <x:v>15</x:v>
      </x:c>
      <x:c r="T711"/>
      <x:c r="U711"/>
      <x:c r="V711" t="n">
        <x:v>0</x:v>
      </x:c>
      <x:c r="W711" t="n">
        <x:v>0</x:v>
      </x:c>
    </x:row>
    <x:row r="712">
      <x:c r="J712" t="n">
        <x:v>1182</x:v>
      </x:c>
      <x:c r="K712" t="str">
        <x:v>The Young Master</x:v>
      </x:c>
      <x:c r="L712" t="n">
        <x:v>29260</x:v>
      </x:c>
      <x:c r="M712" t="n">
        <x:v>106</x:v>
      </x:c>
      <x:c r="N712" t="str">
        <x:v>Martial Arts</x:v>
      </x:c>
      <x:c r="O712" t="str">
        <x:v>Jackie Chan</x:v>
      </x:c>
      <x:c r="P712" t="str">
        <x:v>Golden Harvest</x:v>
      </x:c>
      <x:c r="Q712" t="str">
        <x:v>Hong Kong</x:v>
      </x:c>
      <x:c r="R712" t="str">
        <x:v>Cantonese</x:v>
      </x:c>
      <x:c r="S712" t="n">
        <x:v>15</x:v>
      </x:c>
      <x:c r="T712"/>
      <x:c r="U712"/>
      <x:c r="V712" t="n">
        <x:v>0</x:v>
      </x:c>
      <x:c r="W712" t="n">
        <x:v>0</x:v>
      </x:c>
    </x:row>
    <x:row r="713">
      <x:c r="J713" t="n">
        <x:v>1183</x:v>
      </x:c>
      <x:c r="K713" t="str">
        <x:v>Project A</x:v>
      </x:c>
      <x:c r="L713" t="n">
        <x:v>30672</x:v>
      </x:c>
      <x:c r="M713" t="n">
        <x:v>106</x:v>
      </x:c>
      <x:c r="N713" t="str">
        <x:v>Martial Arts</x:v>
      </x:c>
      <x:c r="O713" t="str">
        <x:v>Jackie Chan</x:v>
      </x:c>
      <x:c r="P713" t="str">
        <x:v>Golden Harvest</x:v>
      </x:c>
      <x:c r="Q713" t="str">
        <x:v>Hong Kong</x:v>
      </x:c>
      <x:c r="R713" t="str">
        <x:v>Cantonese</x:v>
      </x:c>
      <x:c r="S713" t="n">
        <x:v>18</x:v>
      </x:c>
      <x:c r="T713"/>
      <x:c r="U713"/>
      <x:c r="V713" t="n">
        <x:v>0</x:v>
      </x:c>
      <x:c r="W713" t="n">
        <x:v>0</x:v>
      </x:c>
    </x:row>
    <x:row r="714">
      <x:c r="J714" t="n">
        <x:v>1184</x:v>
      </x:c>
      <x:c r="K714" t="str">
        <x:v>Wheels on Meals</x:v>
      </x:c>
      <x:c r="L714" t="n">
        <x:v>30911</x:v>
      </x:c>
      <x:c r="M714" t="n">
        <x:v>104</x:v>
      </x:c>
      <x:c r="N714" t="str">
        <x:v>Martial Arts</x:v>
      </x:c>
      <x:c r="O714" t="str">
        <x:v>Sammo Hung</x:v>
      </x:c>
      <x:c r="P714" t="str">
        <x:v>Golden Harvest</x:v>
      </x:c>
      <x:c r="Q714" t="str">
        <x:v>Hong Kong</x:v>
      </x:c>
      <x:c r="R714" t="str">
        <x:v>Cantonese</x:v>
      </x:c>
      <x:c r="S714" t="n">
        <x:v>15</x:v>
      </x:c>
      <x:c r="T714"/>
      <x:c r="U714"/>
      <x:c r="V714" t="n">
        <x:v>0</x:v>
      </x:c>
      <x:c r="W714" t="n">
        <x:v>0</x:v>
      </x:c>
    </x:row>
    <x:row r="715">
      <x:c r="J715" t="n">
        <x:v>1185</x:v>
      </x:c>
      <x:c r="K715" t="str">
        <x:v>Cannonball Run II</x:v>
      </x:c>
      <x:c r="L715" t="n">
        <x:v>30862</x:v>
      </x:c>
      <x:c r="M715" t="n">
        <x:v>108</x:v>
      </x:c>
      <x:c r="N715" t="str">
        <x:v>Comedy</x:v>
      </x:c>
      <x:c r="O715" t="str">
        <x:v>Hal Needham</x:v>
      </x:c>
      <x:c r="P715" t="str">
        <x:v>Golden Harvest</x:v>
      </x:c>
      <x:c r="Q715" t="str">
        <x:v>United States</x:v>
      </x:c>
      <x:c r="R715" t="str">
        <x:v>English</x:v>
      </x:c>
      <x:c r="S715" t="str">
        <x:v>PG</x:v>
      </x:c>
      <x:c r="T715" t="n">
        <x:v>20000000</x:v>
      </x:c>
      <x:c r="U715" t="n">
        <x:v>28000000</x:v>
      </x:c>
      <x:c r="V715" t="n">
        <x:v>0</x:v>
      </x:c>
      <x:c r="W715" t="n">
        <x:v>0</x:v>
      </x:c>
    </x:row>
    <x:row r="716">
      <x:c r="J716" t="n">
        <x:v>1186</x:v>
      </x:c>
      <x:c r="K716" t="str">
        <x:v>Police Story</x:v>
      </x:c>
      <x:c r="L716" t="n">
        <x:v>31395</x:v>
      </x:c>
      <x:c r="M716" t="n">
        <x:v>101</x:v>
      </x:c>
      <x:c r="N716" t="str">
        <x:v>Martial Arts</x:v>
      </x:c>
      <x:c r="O716" t="str">
        <x:v>Jackie Chan</x:v>
      </x:c>
      <x:c r="P716" t="str">
        <x:v>Golden Harvest</x:v>
      </x:c>
      <x:c r="Q716" t="str">
        <x:v>Hong Kong</x:v>
      </x:c>
      <x:c r="R716" t="str">
        <x:v>Cantonese</x:v>
      </x:c>
      <x:c r="S716" t="n">
        <x:v>15</x:v>
      </x:c>
      <x:c r="T716"/>
      <x:c r="U716"/>
      <x:c r="V716" t="n">
        <x:v>0</x:v>
      </x:c>
      <x:c r="W716" t="n">
        <x:v>0</x:v>
      </x:c>
    </x:row>
    <x:row r="717">
      <x:c r="J717" t="n">
        <x:v>1187</x:v>
      </x:c>
      <x:c r="K717" t="str">
        <x:v>Winners and Sinners</x:v>
      </x:c>
      <x:c r="L717" t="n">
        <x:v>30504</x:v>
      </x:c>
      <x:c r="M717" t="n">
        <x:v>101</x:v>
      </x:c>
      <x:c r="N717" t="str">
        <x:v>Martial Arts</x:v>
      </x:c>
      <x:c r="O717" t="str">
        <x:v>Sammo Hung</x:v>
      </x:c>
      <x:c r="P717" t="str">
        <x:v>Golden Harvest</x:v>
      </x:c>
      <x:c r="Q717" t="str">
        <x:v>Hong Kong</x:v>
      </x:c>
      <x:c r="R717" t="str">
        <x:v>Cantonese</x:v>
      </x:c>
      <x:c r="S717" t="n">
        <x:v>15</x:v>
      </x:c>
      <x:c r="T717"/>
      <x:c r="U717"/>
      <x:c r="V717" t="n">
        <x:v>0</x:v>
      </x:c>
      <x:c r="W717" t="n">
        <x:v>0</x:v>
      </x:c>
    </x:row>
    <x:row r="718">
      <x:c r="J718" t="n">
        <x:v>1188</x:v>
      </x:c>
      <x:c r="K718" t="str">
        <x:v>My Lucky Stars</x:v>
      </x:c>
      <x:c r="L718" t="n">
        <x:v>31088</x:v>
      </x:c>
      <x:c r="M718" t="n">
        <x:v>96</x:v>
      </x:c>
      <x:c r="N718" t="str">
        <x:v>Martial Arts</x:v>
      </x:c>
      <x:c r="O718" t="str">
        <x:v>Sammo Hung</x:v>
      </x:c>
      <x:c r="P718" t="str">
        <x:v>Golden Harvest</x:v>
      </x:c>
      <x:c r="Q718" t="str">
        <x:v>Hong Kong</x:v>
      </x:c>
      <x:c r="R718" t="str">
        <x:v>Cantonese</x:v>
      </x:c>
      <x:c r="S718" t="n">
        <x:v>15</x:v>
      </x:c>
      <x:c r="T718"/>
      <x:c r="U718"/>
      <x:c r="V718" t="n">
        <x:v>0</x:v>
      </x:c>
      <x:c r="W718" t="n">
        <x:v>0</x:v>
      </x:c>
    </x:row>
    <x:row r="719">
      <x:c r="J719" t="n">
        <x:v>1189</x:v>
      </x:c>
      <x:c r="K719" t="str">
        <x:v>Twinkle, Twinkle Lucky Stars</x:v>
      </x:c>
      <x:c r="L719" t="n">
        <x:v>31274</x:v>
      </x:c>
      <x:c r="M719" t="n">
        <x:v>90</x:v>
      </x:c>
      <x:c r="N719" t="str">
        <x:v>Martial Arts</x:v>
      </x:c>
      <x:c r="O719" t="str">
        <x:v>Sammo Hung</x:v>
      </x:c>
      <x:c r="P719" t="str">
        <x:v>Golden Harvest</x:v>
      </x:c>
      <x:c r="Q719" t="str">
        <x:v>Hong Kong</x:v>
      </x:c>
      <x:c r="R719" t="str">
        <x:v>Cantonese</x:v>
      </x:c>
      <x:c r="S719" t="n">
        <x:v>18</x:v>
      </x:c>
      <x:c r="T719"/>
      <x:c r="U719"/>
      <x:c r="V719" t="n">
        <x:v>0</x:v>
      </x:c>
      <x:c r="W719" t="n">
        <x:v>0</x:v>
      </x:c>
    </x:row>
    <x:row r="720">
      <x:c r="J720" t="n">
        <x:v>1190</x:v>
      </x:c>
      <x:c r="K720" t="str">
        <x:v>Armour of God</x:v>
      </x:c>
      <x:c r="L720" t="n">
        <x:v>31798</x:v>
      </x:c>
      <x:c r="M720" t="n">
        <x:v>97</x:v>
      </x:c>
      <x:c r="N720" t="str">
        <x:v>Martial Arts</x:v>
      </x:c>
      <x:c r="O720" t="str">
        <x:v>Jackie Chan</x:v>
      </x:c>
      <x:c r="P720" t="str">
        <x:v>Golden Harvest</x:v>
      </x:c>
      <x:c r="Q720" t="str">
        <x:v>Hong Kong</x:v>
      </x:c>
      <x:c r="R720" t="str">
        <x:v>Cantonese</x:v>
      </x:c>
      <x:c r="S720" t="n">
        <x:v>15</x:v>
      </x:c>
      <x:c r="T720"/>
      <x:c r="U720"/>
      <x:c r="V720" t="n">
        <x:v>0</x:v>
      </x:c>
      <x:c r="W720" t="n">
        <x:v>0</x:v>
      </x:c>
    </x:row>
    <x:row r="721">
      <x:c r="J721" t="n">
        <x:v>1191</x:v>
      </x:c>
      <x:c r="K721" t="str">
        <x:v>Project A Part II</x:v>
      </x:c>
      <x:c r="L721" t="n">
        <x:v>32008</x:v>
      </x:c>
      <x:c r="M721" t="n">
        <x:v>106</x:v>
      </x:c>
      <x:c r="N721" t="str">
        <x:v>Martial Arts</x:v>
      </x:c>
      <x:c r="O721" t="str">
        <x:v>Jackie Chan</x:v>
      </x:c>
      <x:c r="P721" t="str">
        <x:v>Golden Harvest</x:v>
      </x:c>
      <x:c r="Q721" t="str">
        <x:v>Hong Kong</x:v>
      </x:c>
      <x:c r="R721" t="str">
        <x:v>Cantonese</x:v>
      </x:c>
      <x:c r="S721" t="n">
        <x:v>15</x:v>
      </x:c>
      <x:c r="T721"/>
      <x:c r="U721"/>
      <x:c r="V721" t="n">
        <x:v>0</x:v>
      </x:c>
      <x:c r="W721" t="n">
        <x:v>0</x:v>
      </x:c>
    </x:row>
    <x:row r="722">
      <x:c r="J722" t="n">
        <x:v>1192</x:v>
      </x:c>
      <x:c r="K722" t="str">
        <x:v>Police Story 2</x:v>
      </x:c>
      <x:c r="L722" t="n">
        <x:v>32375</x:v>
      </x:c>
      <x:c r="M722" t="n">
        <x:v>101</x:v>
      </x:c>
      <x:c r="N722" t="str">
        <x:v>Martial Arts</x:v>
      </x:c>
      <x:c r="O722" t="str">
        <x:v>Jackie Chan</x:v>
      </x:c>
      <x:c r="P722" t="str">
        <x:v>Golden Harvest</x:v>
      </x:c>
      <x:c r="Q722" t="str">
        <x:v>Hong Kong</x:v>
      </x:c>
      <x:c r="R722" t="str">
        <x:v>Cantonese</x:v>
      </x:c>
      <x:c r="S722" t="n">
        <x:v>15</x:v>
      </x:c>
      <x:c r="T722"/>
      <x:c r="U722"/>
      <x:c r="V722" t="n">
        <x:v>0</x:v>
      </x:c>
      <x:c r="W722" t="n">
        <x:v>0</x:v>
      </x:c>
    </x:row>
    <x:row r="723">
      <x:c r="J723" t="n">
        <x:v>1193</x:v>
      </x:c>
      <x:c r="K723" t="str">
        <x:v>Dragons Forever</x:v>
      </x:c>
      <x:c r="L723" t="n">
        <x:v>32184</x:v>
      </x:c>
      <x:c r="M723" t="n">
        <x:v>94</x:v>
      </x:c>
      <x:c r="N723" t="str">
        <x:v>Martial Arts</x:v>
      </x:c>
      <x:c r="O723" t="str">
        <x:v>Sammo Hung</x:v>
      </x:c>
      <x:c r="P723" t="str">
        <x:v>Golden Harvest</x:v>
      </x:c>
      <x:c r="Q723" t="str">
        <x:v>Hong Kong</x:v>
      </x:c>
      <x:c r="R723" t="str">
        <x:v>Cantonese</x:v>
      </x:c>
      <x:c r="S723" t="n">
        <x:v>18</x:v>
      </x:c>
      <x:c r="T723"/>
      <x:c r="U723"/>
      <x:c r="V723" t="n">
        <x:v>0</x:v>
      </x:c>
      <x:c r="W723" t="n">
        <x:v>0</x:v>
      </x:c>
    </x:row>
    <x:row r="724">
      <x:c r="J724" t="n">
        <x:v>1194</x:v>
      </x:c>
      <x:c r="K724" t="str">
        <x:v>Armour of God II: Operation Condor</x:v>
      </x:c>
      <x:c r="L724" t="n">
        <x:v>33276</x:v>
      </x:c>
      <x:c r="M724" t="n">
        <x:v>106</x:v>
      </x:c>
      <x:c r="N724" t="str">
        <x:v>Martial Arts</x:v>
      </x:c>
      <x:c r="O724" t="str">
        <x:v>Jackie Chan</x:v>
      </x:c>
      <x:c r="P724" t="str">
        <x:v>Golden Harvest</x:v>
      </x:c>
      <x:c r="Q724" t="str">
        <x:v>Hong Kong</x:v>
      </x:c>
      <x:c r="R724" t="str">
        <x:v>Cantonese</x:v>
      </x:c>
      <x:c r="S724" t="n">
        <x:v>15</x:v>
      </x:c>
      <x:c r="T724"/>
      <x:c r="U724" t="n">
        <x:v>10400000</x:v>
      </x:c>
      <x:c r="V724" t="n">
        <x:v>0</x:v>
      </x:c>
      <x:c r="W724" t="n">
        <x:v>0</x:v>
      </x:c>
    </x:row>
    <x:row r="725">
      <x:c r="J725" t="n">
        <x:v>1195</x:v>
      </x:c>
      <x:c r="K725" t="str">
        <x:v>Police Story 3: Super Cop</x:v>
      </x:c>
      <x:c r="L725" t="n">
        <x:v>33789</x:v>
      </x:c>
      <x:c r="M725" t="n">
        <x:v>95</x:v>
      </x:c>
      <x:c r="N725" t="str">
        <x:v>Martial Arts</x:v>
      </x:c>
      <x:c r="O725" t="str">
        <x:v>Stanley Tong</x:v>
      </x:c>
      <x:c r="P725" t="str">
        <x:v>Golden Harvest</x:v>
      </x:c>
      <x:c r="Q725" t="str">
        <x:v>Hong Kong</x:v>
      </x:c>
      <x:c r="R725" t="str">
        <x:v>Cantonese</x:v>
      </x:c>
      <x:c r="S725" t="n">
        <x:v>15</x:v>
      </x:c>
      <x:c r="T725" t="n">
        <x:v>900000</x:v>
      </x:c>
      <x:c r="U725" t="n">
        <x:v>16250000</x:v>
      </x:c>
      <x:c r="V725" t="n">
        <x:v>0</x:v>
      </x:c>
      <x:c r="W725" t="n">
        <x:v>0</x:v>
      </x:c>
    </x:row>
    <x:row r="726">
      <x:c r="J726" t="n">
        <x:v>1196</x:v>
      </x:c>
      <x:c r="K726" t="str">
        <x:v>Once Upon a Time in China</x:v>
      </x:c>
      <x:c r="L726" t="n">
        <x:v>33465</x:v>
      </x:c>
      <x:c r="M726" t="n">
        <x:v>134</x:v>
      </x:c>
      <x:c r="N726" t="str">
        <x:v>Martial Arts</x:v>
      </x:c>
      <x:c r="O726" t="str">
        <x:v>Hark Tsui</x:v>
      </x:c>
      <x:c r="P726" t="str">
        <x:v>Golden Harvest</x:v>
      </x:c>
      <x:c r="Q726" t="str">
        <x:v>Hong Kong</x:v>
      </x:c>
      <x:c r="R726" t="str">
        <x:v>Cantonese</x:v>
      </x:c>
      <x:c r="S726" t="n">
        <x:v>15</x:v>
      </x:c>
      <x:c r="T726"/>
      <x:c r="U726"/>
      <x:c r="V726" t="n">
        <x:v>0</x:v>
      </x:c>
      <x:c r="W726" t="n">
        <x:v>0</x:v>
      </x:c>
    </x:row>
    <x:row r="727">
      <x:c r="J727" t="n">
        <x:v>1197</x:v>
      </x:c>
      <x:c r="K727" t="str">
        <x:v>Twin Dragons</x:v>
      </x:c>
      <x:c r="L727" t="n">
        <x:v>33618</x:v>
      </x:c>
      <x:c r="M727" t="n">
        <x:v>104</x:v>
      </x:c>
      <x:c r="N727" t="str">
        <x:v>Martial Arts</x:v>
      </x:c>
      <x:c r="O727" t="str">
        <x:v>Hark Tsui</x:v>
      </x:c>
      <x:c r="P727" t="str">
        <x:v>Golden Harvest</x:v>
      </x:c>
      <x:c r="Q727" t="str">
        <x:v>Hong Kong</x:v>
      </x:c>
      <x:c r="R727" t="str">
        <x:v>Cantonese</x:v>
      </x:c>
      <x:c r="S727" t="n">
        <x:v>12</x:v>
      </x:c>
      <x:c r="T727" t="n">
        <x:v>10000000</x:v>
      </x:c>
      <x:c r="U727" t="n">
        <x:v>11000000</x:v>
      </x:c>
      <x:c r="V727" t="n">
        <x:v>0</x:v>
      </x:c>
      <x:c r="W727" t="n">
        <x:v>0</x:v>
      </x:c>
    </x:row>
    <x:row r="728">
      <x:c r="J728" t="n">
        <x:v>1198</x:v>
      </x:c>
      <x:c r="K728" t="str">
        <x:v>Once Upon a Time in China II</x:v>
      </x:c>
      <x:c r="L728" t="n">
        <x:v>33710</x:v>
      </x:c>
      <x:c r="M728" t="n">
        <x:v>113</x:v>
      </x:c>
      <x:c r="N728" t="str">
        <x:v>Martial Arts</x:v>
      </x:c>
      <x:c r="O728" t="str">
        <x:v>Hark Tsui</x:v>
      </x:c>
      <x:c r="P728" t="str">
        <x:v>Golden Harvest</x:v>
      </x:c>
      <x:c r="Q728" t="str">
        <x:v>Hong Kong</x:v>
      </x:c>
      <x:c r="R728" t="str">
        <x:v>Cantonese</x:v>
      </x:c>
      <x:c r="S728" t="n">
        <x:v>15</x:v>
      </x:c>
      <x:c r="T728"/>
      <x:c r="U728"/>
      <x:c r="V728" t="n">
        <x:v>0</x:v>
      </x:c>
      <x:c r="W728" t="n">
        <x:v>0</x:v>
      </x:c>
    </x:row>
    <x:row r="729">
      <x:c r="J729" t="n">
        <x:v>1199</x:v>
      </x:c>
      <x:c r="K729" t="str">
        <x:v>Once Upon a Time in China III</x:v>
      </x:c>
      <x:c r="L729" t="n">
        <x:v>34011</x:v>
      </x:c>
      <x:c r="M729" t="n">
        <x:v>105</x:v>
      </x:c>
      <x:c r="N729" t="str">
        <x:v>Martial Arts</x:v>
      </x:c>
      <x:c r="O729" t="str">
        <x:v>Hark Tsui</x:v>
      </x:c>
      <x:c r="P729" t="str">
        <x:v>Golden Harvest</x:v>
      </x:c>
      <x:c r="Q729" t="str">
        <x:v>Hong Kong</x:v>
      </x:c>
      <x:c r="R729" t="str">
        <x:v>Cantonese</x:v>
      </x:c>
      <x:c r="S729" t="str">
        <x:v>PG</x:v>
      </x:c>
      <x:c r="T729"/>
      <x:c r="U729"/>
      <x:c r="V729" t="n">
        <x:v>0</x:v>
      </x:c>
      <x:c r="W729" t="n">
        <x:v>0</x:v>
      </x:c>
    </x:row>
    <x:row r="730">
      <x:c r="J730" t="n">
        <x:v>1200</x:v>
      </x:c>
      <x:c r="K730" t="str">
        <x:v>Fong Sai-yuk</x:v>
      </x:c>
      <x:c r="L730" t="n">
        <x:v>34032</x:v>
      </x:c>
      <x:c r="M730" t="n">
        <x:v>106</x:v>
      </x:c>
      <x:c r="N730" t="str">
        <x:v>Martial Arts</x:v>
      </x:c>
      <x:c r="O730" t="str">
        <x:v>Corey Yuen</x:v>
      </x:c>
      <x:c r="P730" t="str">
        <x:v>Eastern Productions</x:v>
      </x:c>
      <x:c r="Q730" t="str">
        <x:v>Hong Kong</x:v>
      </x:c>
      <x:c r="R730" t="str">
        <x:v>Cantonese</x:v>
      </x:c>
      <x:c r="S730" t="n">
        <x:v>15</x:v>
      </x:c>
      <x:c r="T730"/>
      <x:c r="U730"/>
      <x:c r="V730" t="n">
        <x:v>0</x:v>
      </x:c>
      <x:c r="W730" t="n">
        <x:v>0</x:v>
      </x:c>
    </x:row>
    <x:row r="731">
      <x:c r="J731" t="n">
        <x:v>1201</x:v>
      </x:c>
      <x:c r="K731" t="str">
        <x:v>Fong Sai-yuk II</x:v>
      </x:c>
      <x:c r="L731" t="n">
        <x:v>34180</x:v>
      </x:c>
      <x:c r="M731" t="n">
        <x:v>96</x:v>
      </x:c>
      <x:c r="N731" t="str">
        <x:v>Martial Arts</x:v>
      </x:c>
      <x:c r="O731" t="str">
        <x:v>Corey Yuen</x:v>
      </x:c>
      <x:c r="P731" t="str">
        <x:v>Eastern Productions</x:v>
      </x:c>
      <x:c r="Q731" t="str">
        <x:v>Hong Kong</x:v>
      </x:c>
      <x:c r="R731" t="str">
        <x:v>Cantonese</x:v>
      </x:c>
      <x:c r="S731" t="n">
        <x:v>15</x:v>
      </x:c>
      <x:c r="T731"/>
      <x:c r="U731"/>
      <x:c r="V731" t="n">
        <x:v>0</x:v>
      </x:c>
      <x:c r="W731" t="n">
        <x:v>0</x:v>
      </x:c>
    </x:row>
    <x:row r="732">
      <x:c r="J732" t="n">
        <x:v>1202</x:v>
      </x:c>
      <x:c r="K732" t="str">
        <x:v>Fist of Legend</x:v>
      </x:c>
      <x:c r="L732" t="n">
        <x:v>34690</x:v>
      </x:c>
      <x:c r="M732" t="n">
        <x:v>103</x:v>
      </x:c>
      <x:c r="N732" t="str">
        <x:v>Martial Arts</x:v>
      </x:c>
      <x:c r="O732" t="str">
        <x:v>Gordon Chan</x:v>
      </x:c>
      <x:c r="P732" t="str">
        <x:v>Eastern Productions</x:v>
      </x:c>
      <x:c r="Q732" t="str">
        <x:v>Hong Kong</x:v>
      </x:c>
      <x:c r="R732" t="str">
        <x:v>Cantonese</x:v>
      </x:c>
      <x:c r="S732" t="n">
        <x:v>18</x:v>
      </x:c>
      <x:c r="T732"/>
      <x:c r="U732"/>
      <x:c r="V732" t="n">
        <x:v>0</x:v>
      </x:c>
      <x:c r="W732" t="n">
        <x:v>0</x:v>
      </x:c>
    </x:row>
    <x:row r="733">
      <x:c r="J733" t="n">
        <x:v>1203</x:v>
      </x:c>
      <x:c r="K733" t="str">
        <x:v>Romeo Must Die</x:v>
      </x:c>
      <x:c r="L733" t="n">
        <x:v>36607</x:v>
      </x:c>
      <x:c r="M733" t="n">
        <x:v>115</x:v>
      </x:c>
      <x:c r="N733" t="str">
        <x:v>Action</x:v>
      </x:c>
      <x:c r="O733" t="str">
        <x:v>Andrzej Bartkowiak</x:v>
      </x:c>
      <x:c r="P733" t="str">
        <x:v>Silver Pictures</x:v>
      </x:c>
      <x:c r="Q733" t="str">
        <x:v>United States</x:v>
      </x:c>
      <x:c r="R733" t="str">
        <x:v>English</x:v>
      </x:c>
      <x:c r="S733" t="n">
        <x:v>15</x:v>
      </x:c>
      <x:c r="T733" t="n">
        <x:v>25000000</x:v>
      </x:c>
      <x:c r="U733" t="n">
        <x:v>91000000</x:v>
      </x:c>
      <x:c r="V733" t="n">
        <x:v>0</x:v>
      </x:c>
      <x:c r="W733" t="n">
        <x:v>0</x:v>
      </x:c>
    </x:row>
    <x:row r="734">
      <x:c r="J734" t="n">
        <x:v>1204</x:v>
      </x:c>
      <x:c r="K734" t="str">
        <x:v>The One</x:v>
      </x:c>
      <x:c r="L734" t="n">
        <x:v>37197</x:v>
      </x:c>
      <x:c r="M734" t="n">
        <x:v>87</x:v>
      </x:c>
      <x:c r="N734" t="str">
        <x:v>Science Fiction</x:v>
      </x:c>
      <x:c r="O734" t="str">
        <x:v>James Wong</x:v>
      </x:c>
      <x:c r="P734" t="str">
        <x:v>Revolution Studios</x:v>
      </x:c>
      <x:c r="Q734" t="str">
        <x:v>United States</x:v>
      </x:c>
      <x:c r="R734" t="str">
        <x:v>English</x:v>
      </x:c>
      <x:c r="S734" t="n">
        <x:v>15</x:v>
      </x:c>
      <x:c r="T734" t="n">
        <x:v>49000000</x:v>
      </x:c>
      <x:c r="U734" t="n">
        <x:v>72700000</x:v>
      </x:c>
      <x:c r="V734" t="n">
        <x:v>0</x:v>
      </x:c>
      <x:c r="W734" t="n">
        <x:v>0</x:v>
      </x:c>
    </x:row>
    <x:row r="735">
      <x:c r="J735" t="n">
        <x:v>1205</x:v>
      </x:c>
      <x:c r="K735" t="str">
        <x:v>Kiss of the Dragon</x:v>
      </x:c>
      <x:c r="L735" t="n">
        <x:v>37078</x:v>
      </x:c>
      <x:c r="M735" t="n">
        <x:v>98</x:v>
      </x:c>
      <x:c r="N735" t="str">
        <x:v>Action</x:v>
      </x:c>
      <x:c r="O735" t="str">
        <x:v>Chris Nahon</x:v>
      </x:c>
      <x:c r="P735" t="str">
        <x:v>StudioCanal</x:v>
      </x:c>
      <x:c r="Q735" t="str">
        <x:v>France</x:v>
      </x:c>
      <x:c r="R735" t="str">
        <x:v>English</x:v>
      </x:c>
      <x:c r="S735" t="n">
        <x:v>18</x:v>
      </x:c>
      <x:c r="T735" t="n">
        <x:v>25000000</x:v>
      </x:c>
      <x:c r="U735" t="n">
        <x:v>64400000</x:v>
      </x:c>
      <x:c r="V735" t="n">
        <x:v>0</x:v>
      </x:c>
      <x:c r="W735" t="n">
        <x:v>0</x:v>
      </x:c>
    </x:row>
    <x:row r="736">
      <x:c r="J736" t="n">
        <x:v>1206</x:v>
      </x:c>
      <x:c r="K736" t="str">
        <x:v>Cradle 2 the Grave</x:v>
      </x:c>
      <x:c r="L736" t="n">
        <x:v>37680</x:v>
      </x:c>
      <x:c r="M736" t="n">
        <x:v>101</x:v>
      </x:c>
      <x:c r="N736" t="str">
        <x:v>Action</x:v>
      </x:c>
      <x:c r="O736" t="str">
        <x:v>Andrzej Bartkowiak</x:v>
      </x:c>
      <x:c r="P736" t="str">
        <x:v>Silver Pictures</x:v>
      </x:c>
      <x:c r="Q736" t="str">
        <x:v>United States</x:v>
      </x:c>
      <x:c r="R736" t="str">
        <x:v>English</x:v>
      </x:c>
      <x:c r="S736" t="n">
        <x:v>15</x:v>
      </x:c>
      <x:c r="T736" t="n">
        <x:v>25000000</x:v>
      </x:c>
      <x:c r="U736" t="n">
        <x:v>56500000</x:v>
      </x:c>
      <x:c r="V736" t="n">
        <x:v>0</x:v>
      </x:c>
      <x:c r="W736" t="n">
        <x:v>0</x:v>
      </x:c>
    </x:row>
    <x:row r="737">
      <x:c r="J737" t="n">
        <x:v>1207</x:v>
      </x:c>
      <x:c r="K737" t="str">
        <x:v>Unleashed</x:v>
      </x:c>
      <x:c r="L737" t="n">
        <x:v>38385</x:v>
      </x:c>
      <x:c r="M737" t="n">
        <x:v>102</x:v>
      </x:c>
      <x:c r="N737" t="str">
        <x:v>Martial Arts</x:v>
      </x:c>
      <x:c r="O737" t="str">
        <x:v>Louis Leterrier</x:v>
      </x:c>
      <x:c r="P737" t="str">
        <x:v>EuropaCorp</x:v>
      </x:c>
      <x:c r="Q737" t="str">
        <x:v>France</x:v>
      </x:c>
      <x:c r="R737" t="str">
        <x:v>English</x:v>
      </x:c>
      <x:c r="S737" t="n">
        <x:v>18</x:v>
      </x:c>
      <x:c r="T737" t="n">
        <x:v>45000000</x:v>
      </x:c>
      <x:c r="U737" t="n">
        <x:v>50900000</x:v>
      </x:c>
      <x:c r="V737" t="n">
        <x:v>0</x:v>
      </x:c>
      <x:c r="W737" t="n">
        <x:v>0</x:v>
      </x:c>
    </x:row>
    <x:row r="738">
      <x:c r="J738" t="n">
        <x:v>1208</x:v>
      </x:c>
      <x:c r="K738" t="str">
        <x:v>Fearless</x:v>
      </x:c>
      <x:c r="L738" t="n">
        <x:v>38743</x:v>
      </x:c>
      <x:c r="M738" t="n">
        <x:v>105</x:v>
      </x:c>
      <x:c r="N738" t="str">
        <x:v>Martial Arts</x:v>
      </x:c>
      <x:c r="O738" t="str">
        <x:v>Ronny Yu</x:v>
      </x:c>
      <x:c r="P738" t="str">
        <x:v>China Film Group</x:v>
      </x:c>
      <x:c r="Q738" t="str">
        <x:v>China</x:v>
      </x:c>
      <x:c r="R738" t="str">
        <x:v>Mandarin</x:v>
      </x:c>
      <x:c r="S738" t="n">
        <x:v>15</x:v>
      </x:c>
      <x:c r="T738"/>
      <x:c r="U738" t="n">
        <x:v>68100000</x:v>
      </x:c>
      <x:c r="V738" t="n">
        <x:v>0</x:v>
      </x:c>
      <x:c r="W738" t="n">
        <x:v>0</x:v>
      </x:c>
    </x:row>
    <x:row r="739">
      <x:c r="J739" t="n">
        <x:v>1209</x:v>
      </x:c>
      <x:c r="K739" t="str">
        <x:v>The Warlords</x:v>
      </x:c>
      <x:c r="L739" t="n">
        <x:v>39428</x:v>
      </x:c>
      <x:c r="M739" t="n">
        <x:v>127</x:v>
      </x:c>
      <x:c r="N739" t="str">
        <x:v>War</x:v>
      </x:c>
      <x:c r="O739" t="str">
        <x:v>Peter Chan</x:v>
      </x:c>
      <x:c r="P739" t="str">
        <x:v>China Film Group</x:v>
      </x:c>
      <x:c r="Q739" t="str">
        <x:v>Hong Kong</x:v>
      </x:c>
      <x:c r="R739" t="str">
        <x:v>Mandarin</x:v>
      </x:c>
      <x:c r="S739" t="n">
        <x:v>15</x:v>
      </x:c>
      <x:c r="T739" t="n">
        <x:v>40000000</x:v>
      </x:c>
      <x:c r="U739"/>
      <x:c r="V739" t="n">
        <x:v>0</x:v>
      </x:c>
      <x:c r="W739" t="n">
        <x:v>0</x:v>
      </x:c>
    </x:row>
    <x:row r="740">
      <x:c r="J740" t="n">
        <x:v>1210</x:v>
      </x:c>
      <x:c r="K740" t="str">
        <x:v>Dragon</x:v>
      </x:c>
      <x:c r="L740" t="n">
        <x:v>40676</x:v>
      </x:c>
      <x:c r="M740" t="n">
        <x:v>116</x:v>
      </x:c>
      <x:c r="N740" t="str">
        <x:v>Martial Arts</x:v>
      </x:c>
      <x:c r="O740" t="str">
        <x:v>Peter Chan</x:v>
      </x:c>
      <x:c r="P740" t="str">
        <x:v>We Pictures</x:v>
      </x:c>
      <x:c r="Q740" t="str">
        <x:v>Hong Kong</x:v>
      </x:c>
      <x:c r="R740" t="str">
        <x:v>Mandarin</x:v>
      </x:c>
      <x:c r="S740" t="n">
        <x:v>15</x:v>
      </x:c>
      <x:c r="T740" t="n">
        <x:v>20000000</x:v>
      </x:c>
      <x:c r="U740" t="n">
        <x:v>29100000</x:v>
      </x:c>
      <x:c r="V740" t="n">
        <x:v>0</x:v>
      </x:c>
      <x:c r="W740" t="n">
        <x:v>0</x:v>
      </x:c>
    </x:row>
    <x:row r="741">
      <x:c r="J741" t="n">
        <x:v>1211</x:v>
      </x:c>
      <x:c r="K741" t="str">
        <x:v>The Forbidden Kingdom</x:v>
      </x:c>
      <x:c r="L741" t="n">
        <x:v>39556</x:v>
      </x:c>
      <x:c r="M741" t="n">
        <x:v>104</x:v>
      </x:c>
      <x:c r="N741" t="str">
        <x:v>Martial Arts</x:v>
      </x:c>
      <x:c r="O741" t="str">
        <x:v>Rob Minkoff</x:v>
      </x:c>
      <x:c r="P741" t="str">
        <x:v>Relativity Media</x:v>
      </x:c>
      <x:c r="Q741" t="str">
        <x:v>United States</x:v>
      </x:c>
      <x:c r="R741" t="str">
        <x:v>English</x:v>
      </x:c>
      <x:c r="S741" t="str">
        <x:v>12A</x:v>
      </x:c>
      <x:c r="T741" t="n">
        <x:v>55000000</x:v>
      </x:c>
      <x:c r="U741" t="n">
        <x:v>128000000</x:v>
      </x:c>
      <x:c r="V741" t="n">
        <x:v>0</x:v>
      </x:c>
      <x:c r="W741" t="n">
        <x:v>0</x:v>
      </x:c>
    </x:row>
    <x:row r="742">
      <x:c r="J742" t="n">
        <x:v>1212</x:v>
      </x:c>
      <x:c r="K742" t="str">
        <x:v>The Mummy: Tomb of the Dragon Emperor</x:v>
      </x:c>
      <x:c r="L742" t="n">
        <x:v>39661</x:v>
      </x:c>
      <x:c r="M742" t="n">
        <x:v>111</x:v>
      </x:c>
      <x:c r="N742" t="str">
        <x:v>Adventure</x:v>
      </x:c>
      <x:c r="O742" t="str">
        <x:v>Rob Cohen</x:v>
      </x:c>
      <x:c r="P742" t="str">
        <x:v>Relativity Media</x:v>
      </x:c>
      <x:c r="Q742" t="str">
        <x:v>United States</x:v>
      </x:c>
      <x:c r="R742" t="str">
        <x:v>English</x:v>
      </x:c>
      <x:c r="S742" t="str">
        <x:v>12A</x:v>
      </x:c>
      <x:c r="T742" t="n">
        <x:v>145000000</x:v>
      </x:c>
      <x:c r="U742" t="n">
        <x:v>401100000</x:v>
      </x:c>
      <x:c r="V742" t="n">
        <x:v>0</x:v>
      </x:c>
      <x:c r="W742" t="n">
        <x:v>0</x:v>
      </x:c>
    </x:row>
    <x:row r="743">
      <x:c r="J743" t="n">
        <x:v>1213</x:v>
      </x:c>
      <x:c r="K743" t="str">
        <x:v>The Expendables</x:v>
      </x:c>
      <x:c r="L743" t="n">
        <x:v>40393</x:v>
      </x:c>
      <x:c r="M743" t="n">
        <x:v>103</x:v>
      </x:c>
      <x:c r="N743" t="str">
        <x:v>Action</x:v>
      </x:c>
      <x:c r="O743" t="str">
        <x:v>Sylvester Stallone</x:v>
      </x:c>
      <x:c r="P743" t="str">
        <x:v>Millennium Films</x:v>
      </x:c>
      <x:c r="Q743" t="str">
        <x:v>United States</x:v>
      </x:c>
      <x:c r="R743" t="str">
        <x:v>English</x:v>
      </x:c>
      <x:c r="S743" t="n">
        <x:v>18</x:v>
      </x:c>
      <x:c r="T743" t="n">
        <x:v>82000000</x:v>
      </x:c>
      <x:c r="U743" t="n">
        <x:v>274500000</x:v>
      </x:c>
      <x:c r="V743" t="n">
        <x:v>0</x:v>
      </x:c>
      <x:c r="W743" t="n">
        <x:v>0</x:v>
      </x:c>
    </x:row>
    <x:row r="744">
      <x:c r="J744" t="n">
        <x:v>1214</x:v>
      </x:c>
      <x:c r="K744" t="str">
        <x:v>The Expendables 2</x:v>
      </x:c>
      <x:c r="L744" t="n">
        <x:v>41134</x:v>
      </x:c>
      <x:c r="M744" t="n">
        <x:v>103</x:v>
      </x:c>
      <x:c r="N744" t="str">
        <x:v>Action</x:v>
      </x:c>
      <x:c r="O744" t="str">
        <x:v>Simon West</x:v>
      </x:c>
      <x:c r="P744" t="str">
        <x:v>Millennium Films</x:v>
      </x:c>
      <x:c r="Q744" t="str">
        <x:v>United States</x:v>
      </x:c>
      <x:c r="R744" t="str">
        <x:v>English</x:v>
      </x:c>
      <x:c r="S744" t="n">
        <x:v>15</x:v>
      </x:c>
      <x:c r="T744" t="n">
        <x:v>100000000</x:v>
      </x:c>
      <x:c r="U744" t="n">
        <x:v>305400000</x:v>
      </x:c>
      <x:c r="V744" t="n">
        <x:v>0</x:v>
      </x:c>
      <x:c r="W744" t="n">
        <x:v>0</x:v>
      </x:c>
    </x:row>
    <x:row r="745">
      <x:c r="J745" t="n">
        <x:v>1215</x:v>
      </x:c>
      <x:c r="K745" t="str">
        <x:v>The Expendables 3</x:v>
      </x:c>
      <x:c r="L745" t="n">
        <x:v>41855</x:v>
      </x:c>
      <x:c r="M745" t="n">
        <x:v>126</x:v>
      </x:c>
      <x:c r="N745" t="str">
        <x:v>Action</x:v>
      </x:c>
      <x:c r="O745" t="str">
        <x:v>Patrick Hughes</x:v>
      </x:c>
      <x:c r="P745" t="str">
        <x:v>Millennium Films</x:v>
      </x:c>
      <x:c r="Q745" t="str">
        <x:v>United States</x:v>
      </x:c>
      <x:c r="R745" t="str">
        <x:v>English</x:v>
      </x:c>
      <x:c r="S745" t="n">
        <x:v>15</x:v>
      </x:c>
      <x:c r="T745" t="n">
        <x:v>90000000</x:v>
      </x:c>
      <x:c r="U745" t="n">
        <x:v>206200000</x:v>
      </x:c>
      <x:c r="V745" t="n">
        <x:v>0</x:v>
      </x:c>
      <x:c r="W745" t="n">
        <x:v>0</x:v>
      </x:c>
    </x:row>
    <x:row r="746">
      <x:c r="J746" t="n">
        <x:v>1216</x:v>
      </x:c>
      <x:c r="K746" t="str">
        <x:v>The Incredible Hulk</x:v>
      </x:c>
      <x:c r="L746" t="n">
        <x:v>39607</x:v>
      </x:c>
      <x:c r="M746" t="n">
        <x:v>112</x:v>
      </x:c>
      <x:c r="N746" t="str">
        <x:v>Action</x:v>
      </x:c>
      <x:c r="O746" t="str">
        <x:v>Louis Leterrier</x:v>
      </x:c>
      <x:c r="P746" t="str">
        <x:v>Marvel Entertainment</x:v>
      </x:c>
      <x:c r="Q746" t="str">
        <x:v>United States</x:v>
      </x:c>
      <x:c r="R746" t="str">
        <x:v>English</x:v>
      </x:c>
      <x:c r="S746" t="str">
        <x:v>12A</x:v>
      </x:c>
      <x:c r="T746" t="n">
        <x:v>150000000</x:v>
      </x:c>
      <x:c r="U746" t="n">
        <x:v>263400000</x:v>
      </x:c>
      <x:c r="V746" t="n">
        <x:v>0</x:v>
      </x:c>
      <x:c r="W746" t="n">
        <x:v>0</x:v>
      </x:c>
    </x:row>
    <x:row r="747">
      <x:c r="J747" t="n">
        <x:v>1217</x:v>
      </x:c>
      <x:c r="K747" t="str">
        <x:v>Now You See Me</x:v>
      </x:c>
      <x:c r="L747" t="n">
        <x:v>41415</x:v>
      </x:c>
      <x:c r="M747" t="n">
        <x:v>115</x:v>
      </x:c>
      <x:c r="N747" t="str">
        <x:v>Mystery</x:v>
      </x:c>
      <x:c r="O747" t="str">
        <x:v>Louis Leterrier</x:v>
      </x:c>
      <x:c r="P747" t="str">
        <x:v>Summit Entertainment</x:v>
      </x:c>
      <x:c r="Q747" t="str">
        <x:v>United States</x:v>
      </x:c>
      <x:c r="R747" t="str">
        <x:v>English</x:v>
      </x:c>
      <x:c r="S747" t="n">
        <x:v>12</x:v>
      </x:c>
      <x:c r="T747" t="n">
        <x:v>75000000</x:v>
      </x:c>
      <x:c r="U747" t="n">
        <x:v>351700000</x:v>
      </x:c>
      <x:c r="V747" t="n">
        <x:v>0</x:v>
      </x:c>
      <x:c r="W747" t="n">
        <x:v>0</x:v>
      </x:c>
    </x:row>
    <x:row r="748">
      <x:c r="J748" t="n">
        <x:v>1218</x:v>
      </x:c>
      <x:c r="K748" t="str">
        <x:v>Clash of the Titans</x:v>
      </x:c>
      <x:c r="L748" t="n">
        <x:v>40270</x:v>
      </x:c>
      <x:c r="M748" t="n">
        <x:v>106</x:v>
      </x:c>
      <x:c r="N748" t="str">
        <x:v>Adventure</x:v>
      </x:c>
      <x:c r="O748" t="str">
        <x:v>Louis Leterrier</x:v>
      </x:c>
      <x:c r="P748" t="str">
        <x:v>Legendary Pictures</x:v>
      </x:c>
      <x:c r="Q748" t="str">
        <x:v>United States</x:v>
      </x:c>
      <x:c r="R748" t="str">
        <x:v>English</x:v>
      </x:c>
      <x:c r="S748" t="str">
        <x:v>12A</x:v>
      </x:c>
      <x:c r="T748" t="n">
        <x:v>125000000</x:v>
      </x:c>
      <x:c r="U748" t="n">
        <x:v>493200000</x:v>
      </x:c>
      <x:c r="V748" t="n">
        <x:v>0</x:v>
      </x:c>
      <x:c r="W748" t="n">
        <x:v>0</x:v>
      </x:c>
    </x:row>
    <x:row r="749">
      <x:c r="J749" t="n">
        <x:v>1219</x:v>
      </x:c>
      <x:c r="K749" t="str">
        <x:v>Clash of the Titans</x:v>
      </x:c>
      <x:c r="L749" t="n">
        <x:v>29749</x:v>
      </x:c>
      <x:c r="M749" t="n">
        <x:v>118</x:v>
      </x:c>
      <x:c r="N749" t="str">
        <x:v>Adventure</x:v>
      </x:c>
      <x:c r="O749" t="str">
        <x:v>Desmond Davis</x:v>
      </x:c>
      <x:c r="P749" t="str">
        <x:v>Metro-Goldwyn-Mayer</x:v>
      </x:c>
      <x:c r="Q749" t="str">
        <x:v>United Kingdom</x:v>
      </x:c>
      <x:c r="R749" t="str">
        <x:v>English</x:v>
      </x:c>
      <x:c r="S749" t="n">
        <x:v>12</x:v>
      </x:c>
      <x:c r="T749" t="n">
        <x:v>15000000</x:v>
      </x:c>
      <x:c r="U749" t="n">
        <x:v>41000000</x:v>
      </x:c>
      <x:c r="V749" t="n">
        <x:v>0</x:v>
      </x:c>
      <x:c r="W749" t="n">
        <x:v>0</x:v>
      </x:c>
    </x:row>
    <x:row r="750">
      <x:c r="J750" t="n">
        <x:v>1220</x:v>
      </x:c>
      <x:c r="K750" t="str">
        <x:v>The Transporter</x:v>
      </x:c>
      <x:c r="L750" t="n">
        <x:v>37531</x:v>
      </x:c>
      <x:c r="M750" t="n">
        <x:v>92</x:v>
      </x:c>
      <x:c r="N750" t="str">
        <x:v>Action</x:v>
      </x:c>
      <x:c r="O750" t="str">
        <x:v>Louis Leterrier</x:v>
      </x:c>
      <x:c r="P750" t="str">
        <x:v>EuropaCorp</x:v>
      </x:c>
      <x:c r="Q750" t="str">
        <x:v>France</x:v>
      </x:c>
      <x:c r="R750" t="str">
        <x:v>English</x:v>
      </x:c>
      <x:c r="S750" t="n">
        <x:v>15</x:v>
      </x:c>
      <x:c r="T750" t="n">
        <x:v>24000000</x:v>
      </x:c>
      <x:c r="U750" t="n">
        <x:v>43900000</x:v>
      </x:c>
      <x:c r="V750" t="n">
        <x:v>0</x:v>
      </x:c>
      <x:c r="W750" t="n">
        <x:v>0</x:v>
      </x:c>
    </x:row>
    <x:row r="751">
      <x:c r="J751" t="n">
        <x:v>1221</x:v>
      </x:c>
      <x:c r="K751" t="str">
        <x:v>Transporter 2</x:v>
      </x:c>
      <x:c r="L751" t="n">
        <x:v>38567</x:v>
      </x:c>
      <x:c r="M751" t="n">
        <x:v>88</x:v>
      </x:c>
      <x:c r="N751" t="str">
        <x:v>Action</x:v>
      </x:c>
      <x:c r="O751" t="str">
        <x:v>Louis Leterrier</x:v>
      </x:c>
      <x:c r="P751" t="str">
        <x:v>EuropaCorp</x:v>
      </x:c>
      <x:c r="Q751" t="str">
        <x:v>France</x:v>
      </x:c>
      <x:c r="R751" t="str">
        <x:v>English</x:v>
      </x:c>
      <x:c r="S751" t="n">
        <x:v>15</x:v>
      </x:c>
      <x:c r="T751" t="n">
        <x:v>32000000</x:v>
      </x:c>
      <x:c r="U751" t="n">
        <x:v>85160000</x:v>
      </x:c>
      <x:c r="V751" t="n">
        <x:v>0</x:v>
      </x:c>
      <x:c r="W751" t="n">
        <x:v>0</x:v>
      </x:c>
    </x:row>
    <x:row r="752">
      <x:c r="J752" t="n">
        <x:v>1222</x:v>
      </x:c>
      <x:c r="K752" t="str">
        <x:v>Zu Warriors from the Magic Mountain</x:v>
      </x:c>
      <x:c r="L752" t="n">
        <x:v>30352</x:v>
      </x:c>
      <x:c r="M752" t="n">
        <x:v>98</x:v>
      </x:c>
      <x:c r="N752" t="str">
        <x:v>Adventure</x:v>
      </x:c>
      <x:c r="O752" t="str">
        <x:v>Hark Tsui</x:v>
      </x:c>
      <x:c r="P752" t="str">
        <x:v>Golden Harvest</x:v>
      </x:c>
      <x:c r="Q752" t="str">
        <x:v>Hong Kong</x:v>
      </x:c>
      <x:c r="R752" t="str">
        <x:v>Cantonese</x:v>
      </x:c>
      <x:c r="S752" t="str">
        <x:v>PG</x:v>
      </x:c>
      <x:c r="T752"/>
      <x:c r="U752"/>
      <x:c r="V752" t="n">
        <x:v>0</x:v>
      </x:c>
      <x:c r="W752" t="n">
        <x:v>0</x:v>
      </x:c>
    </x:row>
    <x:row r="753">
      <x:c r="J753" t="n">
        <x:v>1223</x:v>
      </x:c>
      <x:c r="K753" t="str">
        <x:v>A Better Tomorrow</x:v>
      </x:c>
      <x:c r="L753" t="n">
        <x:v>31626</x:v>
      </x:c>
      <x:c r="M753" t="n">
        <x:v>95</x:v>
      </x:c>
      <x:c r="N753" t="str">
        <x:v>Action</x:v>
      </x:c>
      <x:c r="O753" t="str">
        <x:v>John Woo</x:v>
      </x:c>
      <x:c r="P753" t="str">
        <x:v>Cinema City</x:v>
      </x:c>
      <x:c r="Q753" t="str">
        <x:v>Hong Kong</x:v>
      </x:c>
      <x:c r="R753" t="str">
        <x:v>Cantonese</x:v>
      </x:c>
      <x:c r="S753" t="n">
        <x:v>18</x:v>
      </x:c>
      <x:c r="T753"/>
      <x:c r="U753"/>
      <x:c r="V753" t="n">
        <x:v>0</x:v>
      </x:c>
      <x:c r="W753" t="n">
        <x:v>0</x:v>
      </x:c>
    </x:row>
    <x:row r="754">
      <x:c r="J754" t="n">
        <x:v>1224</x:v>
      </x:c>
      <x:c r="K754" t="str">
        <x:v>A Better Tomorrow II</x:v>
      </x:c>
      <x:c r="L754" t="n">
        <x:v>32128</x:v>
      </x:c>
      <x:c r="M754" t="n">
        <x:v>104</x:v>
      </x:c>
      <x:c r="N754" t="str">
        <x:v>Action</x:v>
      </x:c>
      <x:c r="O754" t="str">
        <x:v>John Woo</x:v>
      </x:c>
      <x:c r="P754" t="str">
        <x:v>Cinema City</x:v>
      </x:c>
      <x:c r="Q754" t="str">
        <x:v>Hong Kong</x:v>
      </x:c>
      <x:c r="R754" t="str">
        <x:v>Cantonese</x:v>
      </x:c>
      <x:c r="S754" t="n">
        <x:v>18</x:v>
      </x:c>
      <x:c r="T754"/>
      <x:c r="U754"/>
      <x:c r="V754" t="n">
        <x:v>0</x:v>
      </x:c>
      <x:c r="W754" t="n">
        <x:v>0</x:v>
      </x:c>
    </x:row>
    <x:row r="755">
      <x:c r="J755" t="n">
        <x:v>1225</x:v>
      </x:c>
      <x:c r="K755" t="str">
        <x:v>The Master</x:v>
      </x:c>
      <x:c r="L755" t="n">
        <x:v>33752</x:v>
      </x:c>
      <x:c r="M755" t="n">
        <x:v>92</x:v>
      </x:c>
      <x:c r="N755" t="str">
        <x:v>Martial Arts</x:v>
      </x:c>
      <x:c r="O755" t="str">
        <x:v>Hark Tsui</x:v>
      </x:c>
      <x:c r="P755" t="str">
        <x:v>Golden Harvest</x:v>
      </x:c>
      <x:c r="Q755" t="str">
        <x:v>Hong Kong</x:v>
      </x:c>
      <x:c r="R755" t="str">
        <x:v>Cantonese</x:v>
      </x:c>
      <x:c r="S755" t="n">
        <x:v>18</x:v>
      </x:c>
      <x:c r="T755"/>
      <x:c r="U755"/>
      <x:c r="V755" t="n">
        <x:v>0</x:v>
      </x:c>
      <x:c r="W755" t="n">
        <x:v>0</x:v>
      </x:c>
    </x:row>
    <x:row r="756">
      <x:c r="J756" t="n">
        <x:v>1226</x:v>
      </x:c>
      <x:c r="K756" t="str">
        <x:v>A Better Tomorrow III</x:v>
      </x:c>
      <x:c r="L756" t="n">
        <x:v>32801</x:v>
      </x:c>
      <x:c r="M756" t="n">
        <x:v>145</x:v>
      </x:c>
      <x:c r="N756" t="str">
        <x:v>Action</x:v>
      </x:c>
      <x:c r="O756" t="str">
        <x:v>Hark Tsui</x:v>
      </x:c>
      <x:c r="P756" t="str">
        <x:v>Golden Princess Film Production Limited</x:v>
      </x:c>
      <x:c r="Q756" t="str">
        <x:v>Hong Kong</x:v>
      </x:c>
      <x:c r="R756" t="str">
        <x:v>Cantonese</x:v>
      </x:c>
      <x:c r="S756" t="n">
        <x:v>18</x:v>
      </x:c>
      <x:c r="T756"/>
      <x:c r="U756"/>
      <x:c r="V756" t="n">
        <x:v>0</x:v>
      </x:c>
      <x:c r="W756" t="n">
        <x:v>0</x:v>
      </x:c>
    </x:row>
    <x:row r="757">
      <x:c r="J757" t="n">
        <x:v>1227</x:v>
      </x:c>
      <x:c r="K757" t="str">
        <x:v>The Killer</x:v>
      </x:c>
      <x:c r="L757" t="n">
        <x:v>32695</x:v>
      </x:c>
      <x:c r="M757" t="n">
        <x:v>110</x:v>
      </x:c>
      <x:c r="N757" t="str">
        <x:v>Action</x:v>
      </x:c>
      <x:c r="O757" t="str">
        <x:v>John Woo</x:v>
      </x:c>
      <x:c r="P757" t="str">
        <x:v>Golden Princess Film Production Limited</x:v>
      </x:c>
      <x:c r="Q757" t="str">
        <x:v>Hong Kong</x:v>
      </x:c>
      <x:c r="R757" t="str">
        <x:v>Cantonese</x:v>
      </x:c>
      <x:c r="S757" t="n">
        <x:v>18</x:v>
      </x:c>
      <x:c r="T757"/>
      <x:c r="U757"/>
      <x:c r="V757" t="n">
        <x:v>0</x:v>
      </x:c>
      <x:c r="W757" t="n">
        <x:v>0</x:v>
      </x:c>
    </x:row>
    <x:row r="758">
      <x:c r="J758" t="n">
        <x:v>1228</x:v>
      </x:c>
      <x:c r="K758" t="str">
        <x:v>Seven Swords</x:v>
      </x:c>
      <x:c r="L758" t="n">
        <x:v>38562</x:v>
      </x:c>
      <x:c r="M758" t="n">
        <x:v>153</x:v>
      </x:c>
      <x:c r="N758" t="str">
        <x:v>Martial Arts</x:v>
      </x:c>
      <x:c r="O758" t="str">
        <x:v>Hark Tsui</x:v>
      </x:c>
      <x:c r="P758" t="str">
        <x:v>Film Workshop</x:v>
      </x:c>
      <x:c r="Q758" t="str">
        <x:v>Hong Kong</x:v>
      </x:c>
      <x:c r="R758" t="str">
        <x:v>Mandarin</x:v>
      </x:c>
      <x:c r="S758" t="n">
        <x:v>15</x:v>
      </x:c>
      <x:c r="T758" t="n">
        <x:v>18000000</x:v>
      </x:c>
      <x:c r="U758"/>
      <x:c r="V758" t="n">
        <x:v>0</x:v>
      </x:c>
      <x:c r="W758" t="n">
        <x:v>0</x:v>
      </x:c>
    </x:row>
    <x:row r="759">
      <x:c r="J759" t="n">
        <x:v>1229</x:v>
      </x:c>
      <x:c r="K759" t="str">
        <x:v>Detective Dee and the Mystery of the Phantom Flame</x:v>
      </x:c>
      <x:c r="L759" t="n">
        <x:v>40450</x:v>
      </x:c>
      <x:c r="M759" t="n">
        <x:v>122</x:v>
      </x:c>
      <x:c r="N759" t="str">
        <x:v>Adventure</x:v>
      </x:c>
      <x:c r="O759" t="str">
        <x:v>Hark Tsui</x:v>
      </x:c>
      <x:c r="P759" t="str">
        <x:v>Film Workshop</x:v>
      </x:c>
      <x:c r="Q759" t="str">
        <x:v>China</x:v>
      </x:c>
      <x:c r="R759" t="str">
        <x:v>Mandarin</x:v>
      </x:c>
      <x:c r="S759" t="n">
        <x:v>12</x:v>
      </x:c>
      <x:c r="T759" t="n">
        <x:v>20000000</x:v>
      </x:c>
      <x:c r="U759" t="n">
        <x:v>51700000</x:v>
      </x:c>
      <x:c r="V759" t="n">
        <x:v>0</x:v>
      </x:c>
      <x:c r="W759" t="n">
        <x:v>0</x:v>
      </x:c>
    </x:row>
    <x:row r="760">
      <x:c r="J760" t="n">
        <x:v>1230</x:v>
      </x:c>
      <x:c r="K760" t="str">
        <x:v>Flying Swords of Dragon Gate</x:v>
      </x:c>
      <x:c r="L760" t="n">
        <x:v>40892</x:v>
      </x:c>
      <x:c r="M760" t="n">
        <x:v>125</x:v>
      </x:c>
      <x:c r="N760" t="str">
        <x:v>Martial Arts</x:v>
      </x:c>
      <x:c r="O760" t="str">
        <x:v>Hark Tsui</x:v>
      </x:c>
      <x:c r="P760" t="str">
        <x:v>Film Workshop</x:v>
      </x:c>
      <x:c r="Q760" t="str">
        <x:v>China</x:v>
      </x:c>
      <x:c r="R760" t="str">
        <x:v>Mandarin</x:v>
      </x:c>
      <x:c r="S760" t="n">
        <x:v>15</x:v>
      </x:c>
      <x:c r="T760" t="n">
        <x:v>35000000</x:v>
      </x:c>
      <x:c r="U760" t="n">
        <x:v>100000000</x:v>
      </x:c>
      <x:c r="V760" t="n">
        <x:v>0</x:v>
      </x:c>
      <x:c r="W760" t="n">
        <x:v>0</x:v>
      </x:c>
    </x:row>
    <x:row r="761">
      <x:c r="J761" t="n">
        <x:v>1231</x:v>
      </x:c>
      <x:c r="K761" t="str">
        <x:v>Young Detective Dee: Rise of the Sea Dragon</x:v>
      </x:c>
      <x:c r="L761" t="n">
        <x:v>41545</x:v>
      </x:c>
      <x:c r="M761" t="n">
        <x:v>133</x:v>
      </x:c>
      <x:c r="N761" t="str">
        <x:v>Adventure</x:v>
      </x:c>
      <x:c r="O761" t="str">
        <x:v>Hark Tsui</x:v>
      </x:c>
      <x:c r="P761" t="str">
        <x:v>Film Workshop</x:v>
      </x:c>
      <x:c r="Q761" t="str">
        <x:v>China</x:v>
      </x:c>
      <x:c r="R761" t="str">
        <x:v>Mandarin</x:v>
      </x:c>
      <x:c r="S761" t="n">
        <x:v>12</x:v>
      </x:c>
      <x:c r="T761"/>
      <x:c r="U761" t="n">
        <x:v>98400000</x:v>
      </x:c>
      <x:c r="V761" t="n">
        <x:v>0</x:v>
      </x:c>
      <x:c r="W761" t="n">
        <x:v>0</x:v>
      </x:c>
    </x:row>
    <x:row r="762">
      <x:c r="J762" t="n">
        <x:v>1232</x:v>
      </x:c>
      <x:c r="K762" t="str">
        <x:v>Hard Boiled</x:v>
      </x:c>
      <x:c r="L762" t="n">
        <x:v>33710</x:v>
      </x:c>
      <x:c r="M762" t="n">
        <x:v>128</x:v>
      </x:c>
      <x:c r="N762" t="str">
        <x:v>Action</x:v>
      </x:c>
      <x:c r="O762" t="str">
        <x:v>John Woo</x:v>
      </x:c>
      <x:c r="P762" t="str">
        <x:v>Golden Princess Film Production Limited</x:v>
      </x:c>
      <x:c r="Q762" t="str">
        <x:v>Hong Kong</x:v>
      </x:c>
      <x:c r="R762" t="str">
        <x:v>Cantonese</x:v>
      </x:c>
      <x:c r="S762" t="n">
        <x:v>18</x:v>
      </x:c>
      <x:c r="T762" t="n">
        <x:v>4500000</x:v>
      </x:c>
      <x:c r="U762"/>
      <x:c r="V762" t="n">
        <x:v>0</x:v>
      </x:c>
      <x:c r="W762" t="n">
        <x:v>0</x:v>
      </x:c>
    </x:row>
    <x:row r="763">
      <x:c r="J763" t="n">
        <x:v>1233</x:v>
      </x:c>
      <x:c r="K763" t="str">
        <x:v>Hard Target</x:v>
      </x:c>
      <x:c r="L763" t="n">
        <x:v>34201</x:v>
      </x:c>
      <x:c r="M763" t="n">
        <x:v>97</x:v>
      </x:c>
      <x:c r="N763" t="str">
        <x:v>Action</x:v>
      </x:c>
      <x:c r="O763" t="str">
        <x:v>John Woo</x:v>
      </x:c>
      <x:c r="P763" t="str">
        <x:v>Alphaville Films</x:v>
      </x:c>
      <x:c r="Q763" t="str">
        <x:v>United States</x:v>
      </x:c>
      <x:c r="R763" t="str">
        <x:v>English</x:v>
      </x:c>
      <x:c r="S763" t="n">
        <x:v>18</x:v>
      </x:c>
      <x:c r="T763" t="n">
        <x:v>19500000</x:v>
      </x:c>
      <x:c r="U763" t="n">
        <x:v>74200000</x:v>
      </x:c>
      <x:c r="V763" t="n">
        <x:v>0</x:v>
      </x:c>
      <x:c r="W763" t="n">
        <x:v>0</x:v>
      </x:c>
    </x:row>
    <x:row r="764">
      <x:c r="J764" t="n">
        <x:v>1234</x:v>
      </x:c>
      <x:c r="K764" t="str">
        <x:v>Broken Arrow</x:v>
      </x:c>
      <x:c r="L764" t="n">
        <x:v>35104</x:v>
      </x:c>
      <x:c r="M764" t="n">
        <x:v>108</x:v>
      </x:c>
      <x:c r="N764" t="str">
        <x:v>Action</x:v>
      </x:c>
      <x:c r="O764" t="str">
        <x:v>John Woo</x:v>
      </x:c>
      <x:c r="P764" t="str">
        <x:v>20th Century Fox</x:v>
      </x:c>
      <x:c r="Q764" t="str">
        <x:v>United States</x:v>
      </x:c>
      <x:c r="R764" t="str">
        <x:v>English</x:v>
      </x:c>
      <x:c r="S764" t="n">
        <x:v>15</x:v>
      </x:c>
      <x:c r="T764" t="n">
        <x:v>50000000</x:v>
      </x:c>
      <x:c r="U764" t="n">
        <x:v>150200000</x:v>
      </x:c>
      <x:c r="V764" t="n">
        <x:v>0</x:v>
      </x:c>
      <x:c r="W764" t="n">
        <x:v>0</x:v>
      </x:c>
    </x:row>
    <x:row r="765">
      <x:c r="J765" t="n">
        <x:v>1235</x:v>
      </x:c>
      <x:c r="K765" t="str">
        <x:v>Face/Off</x:v>
      </x:c>
      <x:c r="L765" t="n">
        <x:v>35608</x:v>
      </x:c>
      <x:c r="M765" t="n">
        <x:v>139</x:v>
      </x:c>
      <x:c r="N765" t="str">
        <x:v>Action</x:v>
      </x:c>
      <x:c r="O765" t="str">
        <x:v>John Woo</x:v>
      </x:c>
      <x:c r="P765" t="str">
        <x:v>Paramount Pictures</x:v>
      </x:c>
      <x:c r="Q765" t="str">
        <x:v>United States</x:v>
      </x:c>
      <x:c r="R765" t="str">
        <x:v>English</x:v>
      </x:c>
      <x:c r="S765" t="n">
        <x:v>18</x:v>
      </x:c>
      <x:c r="T765" t="n">
        <x:v>80000000</x:v>
      </x:c>
      <x:c r="U765" t="n">
        <x:v>245700000</x:v>
      </x:c>
      <x:c r="V765" t="n">
        <x:v>1</x:v>
      </x:c>
      <x:c r="W765" t="n">
        <x:v>0</x:v>
      </x:c>
    </x:row>
    <x:row r="766">
      <x:c r="J766" t="n">
        <x:v>1236</x:v>
      </x:c>
      <x:c r="K766" t="str">
        <x:v>Paycheck</x:v>
      </x:c>
      <x:c r="L766" t="n">
        <x:v>37980</x:v>
      </x:c>
      <x:c r="M766" t="n">
        <x:v>119</x:v>
      </x:c>
      <x:c r="N766" t="str">
        <x:v>Science Fiction</x:v>
      </x:c>
      <x:c r="O766" t="str">
        <x:v>John Woo</x:v>
      </x:c>
      <x:c r="P766" t="str">
        <x:v>Lion Rock Productions</x:v>
      </x:c>
      <x:c r="Q766" t="str">
        <x:v>United States</x:v>
      </x:c>
      <x:c r="R766" t="str">
        <x:v>English</x:v>
      </x:c>
      <x:c r="S766" t="str">
        <x:v>12A</x:v>
      </x:c>
      <x:c r="T766" t="n">
        <x:v>60000000</x:v>
      </x:c>
      <x:c r="U766" t="n">
        <x:v>96300000</x:v>
      </x:c>
      <x:c r="V766" t="n">
        <x:v>0</x:v>
      </x:c>
      <x:c r="W766" t="n">
        <x:v>0</x:v>
      </x:c>
    </x:row>
    <x:row r="767">
      <x:c r="J767" t="n">
        <x:v>1237</x:v>
      </x:c>
      <x:c r="K767" t="str">
        <x:v>Red Cliff</x:v>
      </x:c>
      <x:c r="L767" t="n">
        <x:v>39639</x:v>
      </x:c>
      <x:c r="M767" t="n">
        <x:v>146</x:v>
      </x:c>
      <x:c r="N767" t="str">
        <x:v>War</x:v>
      </x:c>
      <x:c r="O767" t="str">
        <x:v>John Woo</x:v>
      </x:c>
      <x:c r="P767" t="str">
        <x:v>China Film Group</x:v>
      </x:c>
      <x:c r="Q767" t="str">
        <x:v>China</x:v>
      </x:c>
      <x:c r="R767" t="str">
        <x:v>Mandarin</x:v>
      </x:c>
      <x:c r="S767" t="n">
        <x:v>15</x:v>
      </x:c>
      <x:c r="T767" t="n">
        <x:v>80000000</x:v>
      </x:c>
      <x:c r="U767" t="n">
        <x:v>124000000</x:v>
      </x:c>
      <x:c r="V767" t="n">
        <x:v>0</x:v>
      </x:c>
      <x:c r="W767" t="n">
        <x:v>0</x:v>
      </x:c>
    </x:row>
    <x:row r="768">
      <x:c r="J768" t="n">
        <x:v>1238</x:v>
      </x:c>
      <x:c r="K768" t="str">
        <x:v>Red Cliff II</x:v>
      </x:c>
      <x:c r="L768" t="n">
        <x:v>39820</x:v>
      </x:c>
      <x:c r="M768" t="n">
        <x:v>142</x:v>
      </x:c>
      <x:c r="N768" t="str">
        <x:v>War</x:v>
      </x:c>
      <x:c r="O768" t="str">
        <x:v>John Woo</x:v>
      </x:c>
      <x:c r="P768" t="str">
        <x:v>China Film Group</x:v>
      </x:c>
      <x:c r="Q768" t="str">
        <x:v>China</x:v>
      </x:c>
      <x:c r="R768" t="str">
        <x:v>Mandarin</x:v>
      </x:c>
      <x:c r="S768" t="n">
        <x:v>15</x:v>
      </x:c>
      <x:c r="T768" t="n">
        <x:v>80000000</x:v>
      </x:c>
      <x:c r="U768" t="n">
        <x:v>124300000</x:v>
      </x:c>
      <x:c r="V768" t="n">
        <x:v>0</x:v>
      </x:c>
      <x:c r="W768" t="n">
        <x:v>0</x:v>
      </x:c>
    </x:row>
    <x:row r="769">
      <x:c r="J769" t="n">
        <x:v>1239</x:v>
      </x:c>
      <x:c r="K769" t="str">
        <x:v>The Raid</x:v>
      </x:c>
      <x:c r="L769" t="n">
        <x:v>40794</x:v>
      </x:c>
      <x:c r="M769" t="n">
        <x:v>101</x:v>
      </x:c>
      <x:c r="N769" t="str">
        <x:v>Martial Arts</x:v>
      </x:c>
      <x:c r="O769" t="str">
        <x:v>Gareth Evans</x:v>
      </x:c>
      <x:c r="P769" t="str">
        <x:v>PT. Merantau Films</x:v>
      </x:c>
      <x:c r="Q769" t="str">
        <x:v>Indonesia</x:v>
      </x:c>
      <x:c r="R769" t="str">
        <x:v>Indonesian</x:v>
      </x:c>
      <x:c r="S769" t="n">
        <x:v>18</x:v>
      </x:c>
      <x:c r="T769" t="n">
        <x:v>1100000</x:v>
      </x:c>
      <x:c r="U769" t="n">
        <x:v>9140000</x:v>
      </x:c>
      <x:c r="V769" t="n">
        <x:v>0</x:v>
      </x:c>
      <x:c r="W769" t="n">
        <x:v>0</x:v>
      </x:c>
    </x:row>
    <x:row r="770">
      <x:c r="J770" t="n">
        <x:v>1240</x:v>
      </x:c>
      <x:c r="K770" t="str">
        <x:v>Merantau</x:v>
      </x:c>
      <x:c r="L770" t="n">
        <x:v>40031</x:v>
      </x:c>
      <x:c r="M770" t="n">
        <x:v>135</x:v>
      </x:c>
      <x:c r="N770" t="str">
        <x:v>Martial Arts</x:v>
      </x:c>
      <x:c r="O770" t="str">
        <x:v>Gareth Evans</x:v>
      </x:c>
      <x:c r="P770" t="str">
        <x:v>PT. Merantau Films</x:v>
      </x:c>
      <x:c r="Q770" t="str">
        <x:v>Indonesia</x:v>
      </x:c>
      <x:c r="R770" t="str">
        <x:v>Indonesian</x:v>
      </x:c>
      <x:c r="S770" t="n">
        <x:v>15</x:v>
      </x:c>
      <x:c r="T770"/>
      <x:c r="U770"/>
      <x:c r="V770" t="n">
        <x:v>0</x:v>
      </x:c>
      <x:c r="W770" t="n">
        <x:v>0</x:v>
      </x:c>
    </x:row>
    <x:row r="771">
      <x:c r="J771" t="n">
        <x:v>1241</x:v>
      </x:c>
      <x:c r="K771" t="str">
        <x:v>The Raid 2</x:v>
      </x:c>
      <x:c r="L771" t="n">
        <x:v>41660</x:v>
      </x:c>
      <x:c r="M771" t="n">
        <x:v>150</x:v>
      </x:c>
      <x:c r="N771" t="str">
        <x:v>Martial Arts</x:v>
      </x:c>
      <x:c r="O771" t="str">
        <x:v>Gareth Evans</x:v>
      </x:c>
      <x:c r="P771" t="str">
        <x:v>PT. Merantau Films</x:v>
      </x:c>
      <x:c r="Q771" t="str">
        <x:v>Indonesia</x:v>
      </x:c>
      <x:c r="R771" t="str">
        <x:v>Indonesian</x:v>
      </x:c>
      <x:c r="S771" t="n">
        <x:v>18</x:v>
      </x:c>
      <x:c r="T771" t="n">
        <x:v>4500000</x:v>
      </x:c>
      <x:c r="U771" t="n">
        <x:v>6600000</x:v>
      </x:c>
      <x:c r="V771" t="n">
        <x:v>0</x:v>
      </x:c>
      <x:c r="W771" t="n">
        <x:v>0</x:v>
      </x:c>
    </x:row>
    <x:row r="772">
      <x:c r="J772" t="n">
        <x:v>1242</x:v>
      </x:c>
      <x:c r="K772" t="str">
        <x:v>Ong-Bak</x:v>
      </x:c>
      <x:c r="L772" t="n">
        <x:v>37642</x:v>
      </x:c>
      <x:c r="M772" t="n">
        <x:v>108</x:v>
      </x:c>
      <x:c r="N772" t="str">
        <x:v>Martial Arts</x:v>
      </x:c>
      <x:c r="O772" t="str">
        <x:v>Prachya Pinkaew</x:v>
      </x:c>
      <x:c r="P772" t="str">
        <x:v>Baa-Ram-Ewe</x:v>
      </x:c>
      <x:c r="Q772" t="str">
        <x:v>Thailand</x:v>
      </x:c>
      <x:c r="R772" t="str">
        <x:v>Thai</x:v>
      </x:c>
      <x:c r="S772" t="n">
        <x:v>18</x:v>
      </x:c>
      <x:c r="T772" t="n">
        <x:v>1100000</x:v>
      </x:c>
      <x:c r="U772" t="n">
        <x:v>20112926</x:v>
      </x:c>
      <x:c r="V772" t="n">
        <x:v>0</x:v>
      </x:c>
      <x:c r="W772" t="n">
        <x:v>0</x:v>
      </x:c>
    </x:row>
    <x:row r="773">
      <x:c r="J773" t="n">
        <x:v>1243</x:v>
      </x:c>
      <x:c r="K773" t="str">
        <x:v>Ong-Bak 2</x:v>
      </x:c>
      <x:c r="L773" t="n">
        <x:v>39786</x:v>
      </x:c>
      <x:c r="M773" t="n">
        <x:v>98</x:v>
      </x:c>
      <x:c r="N773" t="str">
        <x:v>Martial Arts</x:v>
      </x:c>
      <x:c r="O773" t="str">
        <x:v>Tony Jaa</x:v>
      </x:c>
      <x:c r="P773" t="str">
        <x:v>Sahamongkol Film International</x:v>
      </x:c>
      <x:c r="Q773" t="str">
        <x:v>Thailand</x:v>
      </x:c>
      <x:c r="R773" t="str">
        <x:v>Thai</x:v>
      </x:c>
      <x:c r="S773" t="n">
        <x:v>15</x:v>
      </x:c>
      <x:c r="T773" t="n">
        <x:v>8000000</x:v>
      </x:c>
      <x:c r="U773" t="n">
        <x:v>9000000</x:v>
      </x:c>
      <x:c r="V773" t="n">
        <x:v>0</x:v>
      </x:c>
      <x:c r="W773" t="n">
        <x:v>0</x:v>
      </x:c>
    </x:row>
    <x:row r="774">
      <x:c r="J774" t="n">
        <x:v>1244</x:v>
      </x:c>
      <x:c r="K774" t="str">
        <x:v>Ong-Bak 3</x:v>
      </x:c>
      <x:c r="L774" t="n">
        <x:v>40303</x:v>
      </x:c>
      <x:c r="M774" t="n">
        <x:v>95</x:v>
      </x:c>
      <x:c r="N774" t="str">
        <x:v>Martial Arts</x:v>
      </x:c>
      <x:c r="O774" t="str">
        <x:v>Tony Jaa</x:v>
      </x:c>
      <x:c r="P774" t="str">
        <x:v>Sahamongkol Film International</x:v>
      </x:c>
      <x:c r="Q774" t="str">
        <x:v>Thailand</x:v>
      </x:c>
      <x:c r="R774" t="str">
        <x:v>Thai</x:v>
      </x:c>
      <x:c r="S774" t="n">
        <x:v>18</x:v>
      </x:c>
      <x:c r="T774"/>
      <x:c r="U774"/>
      <x:c r="V774" t="n">
        <x:v>0</x:v>
      </x:c>
      <x:c r="W774" t="n">
        <x:v>0</x:v>
      </x:c>
    </x:row>
    <x:row r="775">
      <x:c r="J775" t="n">
        <x:v>1245</x:v>
      </x:c>
      <x:c r="K775" t="str">
        <x:v>Warrior King</x:v>
      </x:c>
      <x:c r="L775" t="n">
        <x:v>38575</x:v>
      </x:c>
      <x:c r="M775" t="n">
        <x:v>110</x:v>
      </x:c>
      <x:c r="N775" t="str">
        <x:v>Martial Arts</x:v>
      </x:c>
      <x:c r="O775" t="str">
        <x:v>Prachya Pinkaew</x:v>
      </x:c>
      <x:c r="P775" t="str">
        <x:v>Baa-Ram-Ewe</x:v>
      </x:c>
      <x:c r="Q775" t="str">
        <x:v>Thailand</x:v>
      </x:c>
      <x:c r="R775" t="str">
        <x:v>Thai</x:v>
      </x:c>
      <x:c r="S775" t="n">
        <x:v>18</x:v>
      </x:c>
      <x:c r="T775" t="n">
        <x:v>5000000</x:v>
      </x:c>
      <x:c r="U775" t="n">
        <x:v>27200000</x:v>
      </x:c>
      <x:c r="V775" t="n">
        <x:v>0</x:v>
      </x:c>
      <x:c r="W775" t="n">
        <x:v>0</x:v>
      </x:c>
    </x:row>
    <x:row r="776">
      <x:c r="J776" t="n">
        <x:v>1246</x:v>
      </x:c>
      <x:c r="K776" t="str">
        <x:v>Warrior King 2</x:v>
      </x:c>
      <x:c r="L776" t="n">
        <x:v>41570</x:v>
      </x:c>
      <x:c r="M776" t="n">
        <x:v>103</x:v>
      </x:c>
      <x:c r="N776" t="str">
        <x:v>Martial Arts</x:v>
      </x:c>
      <x:c r="O776" t="str">
        <x:v>Prachya Pinkaew</x:v>
      </x:c>
      <x:c r="P776" t="str">
        <x:v>Baa-Ram-Ewe</x:v>
      </x:c>
      <x:c r="Q776" t="str">
        <x:v>Thailand</x:v>
      </x:c>
      <x:c r="R776" t="str">
        <x:v>Thai</x:v>
      </x:c>
      <x:c r="S776" t="n">
        <x:v>15</x:v>
      </x:c>
      <x:c r="T776" t="n">
        <x:v>15000000</x:v>
      </x:c>
      <x:c r="U776"/>
      <x:c r="V776" t="n">
        <x:v>0</x:v>
      </x:c>
      <x:c r="W776" t="n">
        <x:v>0</x:v>
      </x:c>
    </x:row>
    <x:row r="777">
      <x:c r="J777" t="n">
        <x:v>1247</x:v>
      </x:c>
      <x:c r="K777" t="str">
        <x:v>Ip Man</x:v>
      </x:c>
      <x:c r="L777" t="n">
        <x:v>39800</x:v>
      </x:c>
      <x:c r="M777" t="n">
        <x:v>108</x:v>
      </x:c>
      <x:c r="N777" t="str">
        <x:v>Martial Arts</x:v>
      </x:c>
      <x:c r="O777" t="str">
        <x:v>Wilson Yip</x:v>
      </x:c>
      <x:c r="P777" t="str">
        <x:v>China Film Group</x:v>
      </x:c>
      <x:c r="Q777" t="str">
        <x:v>Hong Kong</x:v>
      </x:c>
      <x:c r="R777" t="str">
        <x:v>Cantonese</x:v>
      </x:c>
      <x:c r="S777" t="n">
        <x:v>15</x:v>
      </x:c>
      <x:c r="T777" t="n">
        <x:v>11715000</x:v>
      </x:c>
      <x:c r="U777" t="n">
        <x:v>21900000</x:v>
      </x:c>
      <x:c r="V777" t="n">
        <x:v>0</x:v>
      </x:c>
      <x:c r="W777" t="n">
        <x:v>0</x:v>
      </x:c>
    </x:row>
    <x:row r="778">
      <x:c r="J778" t="n">
        <x:v>1248</x:v>
      </x:c>
      <x:c r="K778" t="str">
        <x:v>Ip Man 2</x:v>
      </x:c>
      <x:c r="L778" t="n">
        <x:v>40297</x:v>
      </x:c>
      <x:c r="M778" t="n">
        <x:v>109</x:v>
      </x:c>
      <x:c r="N778" t="str">
        <x:v>Martial Arts</x:v>
      </x:c>
      <x:c r="O778" t="str">
        <x:v>Wilson Yip</x:v>
      </x:c>
      <x:c r="P778" t="str">
        <x:v>China Film Group</x:v>
      </x:c>
      <x:c r="Q778" t="str">
        <x:v>Hong Kong</x:v>
      </x:c>
      <x:c r="R778" t="str">
        <x:v>Cantonese</x:v>
      </x:c>
      <x:c r="S778" t="n">
        <x:v>15</x:v>
      </x:c>
      <x:c r="T778" t="n">
        <x:v>12900000</x:v>
      </x:c>
      <x:c r="U778" t="n">
        <x:v>49700000</x:v>
      </x:c>
      <x:c r="V778" t="n">
        <x:v>0</x:v>
      </x:c>
      <x:c r="W778" t="n">
        <x:v>0</x:v>
      </x:c>
    </x:row>
    <x:row r="779">
      <x:c r="J779" t="n">
        <x:v>1249</x:v>
      </x:c>
      <x:c r="K779" t="str">
        <x:v>Ip Man 3</x:v>
      </x:c>
      <x:c r="L779" t="n">
        <x:v>42354</x:v>
      </x:c>
      <x:c r="M779" t="n">
        <x:v>105</x:v>
      </x:c>
      <x:c r="N779" t="str">
        <x:v>Martial Arts</x:v>
      </x:c>
      <x:c r="O779" t="str">
        <x:v>Wilson Yip</x:v>
      </x:c>
      <x:c r="P779" t="str">
        <x:v>Dreams Salon Entertainment</x:v>
      </x:c>
      <x:c r="Q779" t="str">
        <x:v>Hong Kong</x:v>
      </x:c>
      <x:c r="R779" t="str">
        <x:v>Cantonese</x:v>
      </x:c>
      <x:c r="S779" t="str">
        <x:v>12A</x:v>
      </x:c>
      <x:c r="T779" t="n">
        <x:v>36000000</x:v>
      </x:c>
      <x:c r="U779" t="n">
        <x:v>156844000</x:v>
      </x:c>
      <x:c r="V779" t="n">
        <x:v>0</x:v>
      </x:c>
      <x:c r="W779" t="n">
        <x:v>0</x:v>
      </x:c>
    </x:row>
    <x:row r="780">
      <x:c r="J780" t="n">
        <x:v>1250</x:v>
      </x:c>
      <x:c r="K780" t="str">
        <x:v>Iron Monkey</x:v>
      </x:c>
      <x:c r="L780" t="n">
        <x:v>34215</x:v>
      </x:c>
      <x:c r="M780" t="n">
        <x:v>90</x:v>
      </x:c>
      <x:c r="N780" t="str">
        <x:v>Martial Arts</x:v>
      </x:c>
      <x:c r="O780" t="str">
        <x:v>Woo-ping Yuen</x:v>
      </x:c>
      <x:c r="P780" t="str">
        <x:v>Golden Harvest</x:v>
      </x:c>
      <x:c r="Q780" t="str">
        <x:v>Hong Kong</x:v>
      </x:c>
      <x:c r="R780" t="str">
        <x:v>Cantonese</x:v>
      </x:c>
      <x:c r="S780" t="n">
        <x:v>12</x:v>
      </x:c>
      <x:c r="T780" t="n">
        <x:v>11000000</x:v>
      </x:c>
      <x:c r="U780" t="n">
        <x:v>15000000</x:v>
      </x:c>
      <x:c r="V780" t="n">
        <x:v>0</x:v>
      </x:c>
      <x:c r="W780" t="n">
        <x:v>0</x:v>
      </x:c>
    </x:row>
    <x:row r="781">
      <x:c r="J781" t="n">
        <x:v>1251</x:v>
      </x:c>
      <x:c r="K781" t="str">
        <x:v>Crouching Tiger, Hidden Dragon: Sword of Destiny</x:v>
      </x:c>
      <x:c r="L781" t="n">
        <x:v>42418</x:v>
      </x:c>
      <x:c r="M781" t="n">
        <x:v>105</x:v>
      </x:c>
      <x:c r="N781" t="str">
        <x:v>Martial Arts</x:v>
      </x:c>
      <x:c r="O781" t="str">
        <x:v>Woo-ping Yuen</x:v>
      </x:c>
      <x:c r="P781" t="str">
        <x:v>China Film Group</x:v>
      </x:c>
      <x:c r="Q781" t="str">
        <x:v>United States</x:v>
      </x:c>
      <x:c r="R781" t="str">
        <x:v>English</x:v>
      </x:c>
      <x:c r="S781" t="n">
        <x:v>15</x:v>
      </x:c>
      <x:c r="T781" t="n">
        <x:v>20000000</x:v>
      </x:c>
      <x:c r="U781" t="n">
        <x:v>31000000</x:v>
      </x:c>
      <x:c r="V781" t="n">
        <x:v>0</x:v>
      </x:c>
      <x:c r="W781" t="n">
        <x:v>0</x:v>
      </x:c>
    </x:row>
    <x:row r="782">
      <x:c r="J782" t="n">
        <x:v>1252</x:v>
      </x:c>
      <x:c r="K782" t="str">
        <x:v>Dragon Tiger Gate</x:v>
      </x:c>
      <x:c r="L782" t="n">
        <x:v>38926</x:v>
      </x:c>
      <x:c r="M782" t="n">
        <x:v>96</x:v>
      </x:c>
      <x:c r="N782" t="str">
        <x:v>Martial Arts</x:v>
      </x:c>
      <x:c r="O782" t="str">
        <x:v>Wilson Yip</x:v>
      </x:c>
      <x:c r="P782" t="str">
        <x:v>China Film Group</x:v>
      </x:c>
      <x:c r="Q782" t="str">
        <x:v>Hong Kong</x:v>
      </x:c>
      <x:c r="R782" t="str">
        <x:v>Cantonese</x:v>
      </x:c>
      <x:c r="S782" t="n">
        <x:v>15</x:v>
      </x:c>
      <x:c r="T782"/>
      <x:c r="U782"/>
      <x:c r="V782" t="n">
        <x:v>0</x:v>
      </x:c>
      <x:c r="W782" t="n">
        <x:v>0</x:v>
      </x:c>
    </x:row>
    <x:row r="783">
      <x:c r="J783" t="n">
        <x:v>1253</x:v>
      </x:c>
      <x:c r="K783" t="str">
        <x:v>Rashomon</x:v>
      </x:c>
      <x:c r="L783" t="n">
        <x:v>18500</x:v>
      </x:c>
      <x:c r="M783" t="n">
        <x:v>88</x:v>
      </x:c>
      <x:c r="N783" t="str">
        <x:v>Drama</x:v>
      </x:c>
      <x:c r="O783" t="str">
        <x:v>Akira Kurosawa</x:v>
      </x:c>
      <x:c r="P783" t="str">
        <x:v>Daiei Film</x:v>
      </x:c>
      <x:c r="Q783" t="str">
        <x:v>Japan</x:v>
      </x:c>
      <x:c r="R783" t="str">
        <x:v>Japanese</x:v>
      </x:c>
      <x:c r="S783" t="str">
        <x:v>PG</x:v>
      </x:c>
      <x:c r="T783" t="n">
        <x:v>250000</x:v>
      </x:c>
      <x:c r="U783"/>
      <x:c r="V783" t="n">
        <x:v>1</x:v>
      </x:c>
      <x:c r="W783" t="n">
        <x:v>0</x:v>
      </x:c>
    </x:row>
    <x:row r="784">
      <x:c r="J784" t="n">
        <x:v>1254</x:v>
      </x:c>
      <x:c r="K784" t="str">
        <x:v>Ikiru</x:v>
      </x:c>
      <x:c r="L784" t="n">
        <x:v>19276</x:v>
      </x:c>
      <x:c r="M784" t="n">
        <x:v>143</x:v>
      </x:c>
      <x:c r="N784" t="str">
        <x:v>Drama</x:v>
      </x:c>
      <x:c r="O784" t="str">
        <x:v>Akira Kurosawa</x:v>
      </x:c>
      <x:c r="P784" t="str">
        <x:v>Toho Company</x:v>
      </x:c>
      <x:c r="Q784" t="str">
        <x:v>Japan</x:v>
      </x:c>
      <x:c r="R784" t="str">
        <x:v>Japanese</x:v>
      </x:c>
      <x:c r="S784" t="str">
        <x:v>PG</x:v>
      </x:c>
      <x:c r="T784"/>
      <x:c r="U784"/>
      <x:c r="V784" t="n">
        <x:v>0</x:v>
      </x:c>
      <x:c r="W784" t="n">
        <x:v>0</x:v>
      </x:c>
    </x:row>
    <x:row r="785">
      <x:c r="J785" t="n">
        <x:v>1255</x:v>
      </x:c>
      <x:c r="K785" t="str">
        <x:v>Throne of Blood</x:v>
      </x:c>
      <x:c r="L785" t="n">
        <x:v>20835</x:v>
      </x:c>
      <x:c r="M785" t="n">
        <x:v>110</x:v>
      </x:c>
      <x:c r="N785" t="str">
        <x:v>Drama</x:v>
      </x:c>
      <x:c r="O785" t="str">
        <x:v>Akira Kurosawa</x:v>
      </x:c>
      <x:c r="P785" t="str">
        <x:v>Toho Company</x:v>
      </x:c>
      <x:c r="Q785" t="str">
        <x:v>Japan</x:v>
      </x:c>
      <x:c r="R785" t="str">
        <x:v>Japanese</x:v>
      </x:c>
      <x:c r="S785" t="str">
        <x:v>PG</x:v>
      </x:c>
      <x:c r="T785"/>
      <x:c r="U785"/>
      <x:c r="V785" t="n">
        <x:v>0</x:v>
      </x:c>
      <x:c r="W785" t="n">
        <x:v>0</x:v>
      </x:c>
    </x:row>
    <x:row r="786">
      <x:c r="J786" t="n">
        <x:v>1256</x:v>
      </x:c>
      <x:c r="K786" t="str">
        <x:v>The Hidden Fortress</x:v>
      </x:c>
      <x:c r="L786" t="n">
        <x:v>21547</x:v>
      </x:c>
      <x:c r="M786" t="n">
        <x:v>139</x:v>
      </x:c>
      <x:c r="N786" t="str">
        <x:v>Adventure</x:v>
      </x:c>
      <x:c r="O786" t="str">
        <x:v>Akira Kurosawa</x:v>
      </x:c>
      <x:c r="P786" t="str">
        <x:v>Toho Company</x:v>
      </x:c>
      <x:c r="Q786" t="str">
        <x:v>Japan</x:v>
      </x:c>
      <x:c r="R786" t="str">
        <x:v>Japanese</x:v>
      </x:c>
      <x:c r="S786" t="str">
        <x:v>PG</x:v>
      </x:c>
      <x:c r="T786"/>
      <x:c r="U786"/>
      <x:c r="V786" t="n">
        <x:v>0</x:v>
      </x:c>
      <x:c r="W786" t="n">
        <x:v>0</x:v>
      </x:c>
    </x:row>
    <x:row r="787">
      <x:c r="J787" t="n">
        <x:v>1257</x:v>
      </x:c>
      <x:c r="K787" t="str">
        <x:v>Yojimbo</x:v>
      </x:c>
      <x:c r="L787" t="n">
        <x:v>22396</x:v>
      </x:c>
      <x:c r="M787" t="n">
        <x:v>110</x:v>
      </x:c>
      <x:c r="N787" t="str">
        <x:v>Action</x:v>
      </x:c>
      <x:c r="O787" t="str">
        <x:v>Akira Kurosawa</x:v>
      </x:c>
      <x:c r="P787" t="str">
        <x:v>Toho Company</x:v>
      </x:c>
      <x:c r="Q787" t="str">
        <x:v>Japan</x:v>
      </x:c>
      <x:c r="R787" t="str">
        <x:v>Japanese</x:v>
      </x:c>
      <x:c r="S787" t="str">
        <x:v>PG</x:v>
      </x:c>
      <x:c r="T787"/>
      <x:c r="U787"/>
      <x:c r="V787" t="n">
        <x:v>1</x:v>
      </x:c>
      <x:c r="W787" t="n">
        <x:v>0</x:v>
      </x:c>
    </x:row>
    <x:row r="788">
      <x:c r="J788" t="n">
        <x:v>1258</x:v>
      </x:c>
      <x:c r="K788" t="str">
        <x:v>Sanjuro</x:v>
      </x:c>
      <x:c r="L788" t="n">
        <x:v>22647</x:v>
      </x:c>
      <x:c r="M788" t="n">
        <x:v>95</x:v>
      </x:c>
      <x:c r="N788" t="str">
        <x:v>Action</x:v>
      </x:c>
      <x:c r="O788" t="str">
        <x:v>Akira Kurosawa</x:v>
      </x:c>
      <x:c r="P788" t="str">
        <x:v>Toho Company</x:v>
      </x:c>
      <x:c r="Q788" t="str">
        <x:v>Japan</x:v>
      </x:c>
      <x:c r="R788" t="str">
        <x:v>Japanese</x:v>
      </x:c>
      <x:c r="S788" t="str">
        <x:v>PG</x:v>
      </x:c>
      <x:c r="T788"/>
      <x:c r="U788"/>
      <x:c r="V788" t="n">
        <x:v>0</x:v>
      </x:c>
      <x:c r="W788" t="n">
        <x:v>0</x:v>
      </x:c>
    </x:row>
    <x:row r="789">
      <x:c r="J789" t="n">
        <x:v>1259</x:v>
      </x:c>
      <x:c r="K789" t="str">
        <x:v>47 Ronin</x:v>
      </x:c>
      <x:c r="L789" t="n">
        <x:v>34629</x:v>
      </x:c>
      <x:c r="M789" t="n">
        <x:v>132</x:v>
      </x:c>
      <x:c r="N789" t="str">
        <x:v>Action</x:v>
      </x:c>
      <x:c r="O789" t="str">
        <x:v>Kon Ichikawa</x:v>
      </x:c>
      <x:c r="P789" t="str">
        <x:v>Toho Company</x:v>
      </x:c>
      <x:c r="Q789" t="str">
        <x:v>Japan</x:v>
      </x:c>
      <x:c r="R789" t="str">
        <x:v>Japanese</x:v>
      </x:c>
      <x:c r="S789" t="n">
        <x:v>15</x:v>
      </x:c>
      <x:c r="T789"/>
      <x:c r="U789"/>
      <x:c r="V789" t="n">
        <x:v>0</x:v>
      </x:c>
      <x:c r="W789" t="n">
        <x:v>0</x:v>
      </x:c>
    </x:row>
    <x:row r="790">
      <x:c r="J790" t="n">
        <x:v>1260</x:v>
      </x:c>
      <x:c r="K790" t="str">
        <x:v>47 Samurai</x:v>
      </x:c>
      <x:c r="L790" t="n">
        <x:v>22953</x:v>
      </x:c>
      <x:c r="M790" t="n">
        <x:v>207</x:v>
      </x:c>
      <x:c r="N790" t="str">
        <x:v>Action</x:v>
      </x:c>
      <x:c r="O790" t="str">
        <x:v>Hiroshi Inagaki</x:v>
      </x:c>
      <x:c r="P790" t="str">
        <x:v>Toho Company</x:v>
      </x:c>
      <x:c r="Q790" t="str">
        <x:v>Japan</x:v>
      </x:c>
      <x:c r="R790" t="str">
        <x:v>Japanese</x:v>
      </x:c>
      <x:c r="S790" t="str">
        <x:v>Unknown</x:v>
      </x:c>
      <x:c r="T790"/>
      <x:c r="U790"/>
      <x:c r="V790" t="n">
        <x:v>0</x:v>
      </x:c>
      <x:c r="W790" t="n">
        <x:v>0</x:v>
      </x:c>
    </x:row>
    <x:row r="791">
      <x:c r="J791" t="n">
        <x:v>1261</x:v>
      </x:c>
      <x:c r="K791" t="str">
        <x:v>47 Ronin</x:v>
      </x:c>
      <x:c r="L791" t="n">
        <x:v>41614</x:v>
      </x:c>
      <x:c r="M791" t="n">
        <x:v>127</x:v>
      </x:c>
      <x:c r="N791" t="str">
        <x:v>Action</x:v>
      </x:c>
      <x:c r="O791" t="str">
        <x:v>Carl Rinsch</x:v>
      </x:c>
      <x:c r="P791" t="str">
        <x:v>Moving Picture Company</x:v>
      </x:c>
      <x:c r="Q791" t="str">
        <x:v>United States</x:v>
      </x:c>
      <x:c r="R791" t="str">
        <x:v>English</x:v>
      </x:c>
      <x:c r="S791" t="str">
        <x:v>12A</x:v>
      </x:c>
      <x:c r="T791" t="n">
        <x:v>225000000</x:v>
      </x:c>
      <x:c r="U791" t="n">
        <x:v>151800000</x:v>
      </x:c>
      <x:c r="V791" t="n">
        <x:v>0</x:v>
      </x:c>
      <x:c r="W791" t="n">
        <x:v>0</x:v>
      </x:c>
    </x:row>
    <x:row r="792">
      <x:c r="J792" t="n">
        <x:v>1262</x:v>
      </x:c>
      <x:c r="K792" t="str">
        <x:v>The Tale of Osaka Castle</x:v>
      </x:c>
      <x:c r="L792" t="n">
        <x:v>22284</x:v>
      </x:c>
      <x:c r="M792" t="n">
        <x:v>95</x:v>
      </x:c>
      <x:c r="N792" t="str">
        <x:v>Action</x:v>
      </x:c>
      <x:c r="O792" t="str">
        <x:v>Hiroshi Inagaki</x:v>
      </x:c>
      <x:c r="P792" t="str">
        <x:v>Toho Company</x:v>
      </x:c>
      <x:c r="Q792" t="str">
        <x:v>Japan</x:v>
      </x:c>
      <x:c r="R792" t="str">
        <x:v>Japanese</x:v>
      </x:c>
      <x:c r="S792" t="str">
        <x:v>Unknown</x:v>
      </x:c>
      <x:c r="T792"/>
      <x:c r="U792"/>
      <x:c r="V792" t="n">
        <x:v>0</x:v>
      </x:c>
      <x:c r="W792" t="n">
        <x:v>0</x:v>
      </x:c>
    </x:row>
    <x:row r="793">
      <x:c r="J793" t="n">
        <x:v>1263</x:v>
      </x:c>
      <x:c r="K793" t="str">
        <x:v>Whirlwind</x:v>
      </x:c>
      <x:c r="L793" t="n">
        <x:v>23379</x:v>
      </x:c>
      <x:c r="M793" t="n">
        <x:v>108</x:v>
      </x:c>
      <x:c r="N793" t="str">
        <x:v>Action</x:v>
      </x:c>
      <x:c r="O793" t="str">
        <x:v>Hiroshi Inagaki</x:v>
      </x:c>
      <x:c r="P793" t="str">
        <x:v>Toho Company</x:v>
      </x:c>
      <x:c r="Q793" t="str">
        <x:v>Japan</x:v>
      </x:c>
      <x:c r="R793" t="str">
        <x:v>Japanese</x:v>
      </x:c>
      <x:c r="S793" t="str">
        <x:v>Unknown</x:v>
      </x:c>
      <x:c r="T793"/>
      <x:c r="U793"/>
      <x:c r="V793" t="n">
        <x:v>0</x:v>
      </x:c>
      <x:c r="W793" t="n">
        <x:v>0</x:v>
      </x:c>
    </x:row>
    <x:row r="794">
      <x:c r="J794" t="n">
        <x:v>1264</x:v>
      </x:c>
      <x:c r="K794" t="str">
        <x:v>Samurai Saga</x:v>
      </x:c>
      <x:c r="L794" t="n">
        <x:v>21668</x:v>
      </x:c>
      <x:c r="M794" t="n">
        <x:v>111</x:v>
      </x:c>
      <x:c r="N794" t="str">
        <x:v>Action</x:v>
      </x:c>
      <x:c r="O794" t="str">
        <x:v>Hiroshi Inagaki</x:v>
      </x:c>
      <x:c r="P794" t="str">
        <x:v>Toho Company</x:v>
      </x:c>
      <x:c r="Q794" t="str">
        <x:v>Japan</x:v>
      </x:c>
      <x:c r="R794" t="str">
        <x:v>Japanese</x:v>
      </x:c>
      <x:c r="S794" t="str">
        <x:v>Unknown</x:v>
      </x:c>
      <x:c r="T794"/>
      <x:c r="U794"/>
      <x:c r="V794" t="n">
        <x:v>0</x:v>
      </x:c>
      <x:c r="W794" t="n">
        <x:v>0</x:v>
      </x:c>
    </x:row>
    <x:row r="795">
      <x:c r="J795" t="n">
        <x:v>1265</x:v>
      </x:c>
      <x:c r="K795" t="str">
        <x:v>Nippon tanjo</x:v>
      </x:c>
      <x:c r="L795" t="n">
        <x:v>21551</x:v>
      </x:c>
      <x:c r="M795" t="n">
        <x:v>182</x:v>
      </x:c>
      <x:c r="N795" t="str">
        <x:v>Fantasy</x:v>
      </x:c>
      <x:c r="O795" t="str">
        <x:v>Hiroshi Inagaki</x:v>
      </x:c>
      <x:c r="P795" t="str">
        <x:v>Toho Company</x:v>
      </x:c>
      <x:c r="Q795" t="str">
        <x:v>Japan</x:v>
      </x:c>
      <x:c r="R795" t="str">
        <x:v>Japanese</x:v>
      </x:c>
      <x:c r="S795" t="str">
        <x:v>Unknown</x:v>
      </x:c>
      <x:c r="T795"/>
      <x:c r="U795"/>
      <x:c r="V795" t="n">
        <x:v>0</x:v>
      </x:c>
      <x:c r="W795" t="n">
        <x:v>0</x:v>
      </x:c>
    </x:row>
    <x:row r="796">
      <x:c r="J796" t="n">
        <x:v>1266</x:v>
      </x:c>
      <x:c r="K796" t="str">
        <x:v>Samurai I: Musashi Miyamoto</x:v>
      </x:c>
      <x:c r="L796" t="n">
        <x:v>19993</x:v>
      </x:c>
      <x:c r="M796" t="n">
        <x:v>93</x:v>
      </x:c>
      <x:c r="N796" t="str">
        <x:v>Action</x:v>
      </x:c>
      <x:c r="O796" t="str">
        <x:v>Hiroshi Inagaki</x:v>
      </x:c>
      <x:c r="P796" t="str">
        <x:v>Toho Company</x:v>
      </x:c>
      <x:c r="Q796" t="str">
        <x:v>Japan</x:v>
      </x:c>
      <x:c r="R796" t="str">
        <x:v>Japanese</x:v>
      </x:c>
      <x:c r="S796" t="str">
        <x:v>PG</x:v>
      </x:c>
      <x:c r="T796"/>
      <x:c r="U796"/>
      <x:c r="V796" t="n">
        <x:v>0</x:v>
      </x:c>
      <x:c r="W796" t="n">
        <x:v>0</x:v>
      </x:c>
    </x:row>
    <x:row r="797">
      <x:c r="J797" t="n">
        <x:v>1267</x:v>
      </x:c>
      <x:c r="K797" t="str">
        <x:v>Samurai II: Duel at Ichijoji Temple</x:v>
      </x:c>
      <x:c r="L797" t="n">
        <x:v>20282</x:v>
      </x:c>
      <x:c r="M797" t="n">
        <x:v>103</x:v>
      </x:c>
      <x:c r="N797" t="str">
        <x:v>Action</x:v>
      </x:c>
      <x:c r="O797" t="str">
        <x:v>Hiroshi Inagaki</x:v>
      </x:c>
      <x:c r="P797" t="str">
        <x:v>Toho Company</x:v>
      </x:c>
      <x:c r="Q797" t="str">
        <x:v>Japan</x:v>
      </x:c>
      <x:c r="R797" t="str">
        <x:v>Japanese</x:v>
      </x:c>
      <x:c r="S797" t="str">
        <x:v>PG</x:v>
      </x:c>
      <x:c r="T797"/>
      <x:c r="U797"/>
      <x:c r="V797" t="n">
        <x:v>0</x:v>
      </x:c>
      <x:c r="W797" t="n">
        <x:v>0</x:v>
      </x:c>
    </x:row>
    <x:row r="798">
      <x:c r="J798" t="n">
        <x:v>1268</x:v>
      </x:c>
      <x:c r="K798" t="str">
        <x:v>Samurai III: Duel at Ganryu Island</x:v>
      </x:c>
      <x:c r="L798" t="n">
        <x:v>20457</x:v>
      </x:c>
      <x:c r="M798" t="n">
        <x:v>105</x:v>
      </x:c>
      <x:c r="N798" t="str">
        <x:v>Action</x:v>
      </x:c>
      <x:c r="O798" t="str">
        <x:v>Hiroshi Inagaki</x:v>
      </x:c>
      <x:c r="P798" t="str">
        <x:v>Toho Company</x:v>
      </x:c>
      <x:c r="Q798" t="str">
        <x:v>Japan</x:v>
      </x:c>
      <x:c r="R798" t="str">
        <x:v>Japanese</x:v>
      </x:c>
      <x:c r="S798" t="str">
        <x:v>PG</x:v>
      </x:c>
      <x:c r="T798"/>
      <x:c r="U798"/>
      <x:c r="V798" t="n">
        <x:v>0</x:v>
      </x:c>
      <x:c r="W798" t="n">
        <x:v>0</x:v>
      </x:c>
    </x:row>
    <x:row r="799">
      <x:c r="J799" t="n">
        <x:v>1269</x:v>
      </x:c>
      <x:c r="K799" t="str">
        <x:v>Ichi the Killer</x:v>
      </x:c>
      <x:c r="L799" t="n">
        <x:v>37148</x:v>
      </x:c>
      <x:c r="M799" t="n">
        <x:v>128</x:v>
      </x:c>
      <x:c r="N799" t="str">
        <x:v>Crime</x:v>
      </x:c>
      <x:c r="O799" t="str">
        <x:v>Takashi Miike</x:v>
      </x:c>
      <x:c r="P799" t="str">
        <x:v>Omega Project</x:v>
      </x:c>
      <x:c r="Q799" t="str">
        <x:v>Japan</x:v>
      </x:c>
      <x:c r="R799" t="str">
        <x:v>Japanese</x:v>
      </x:c>
      <x:c r="S799" t="n">
        <x:v>18</x:v>
      </x:c>
      <x:c r="T799" t="n">
        <x:v>1400000</x:v>
      </x:c>
      <x:c r="U799"/>
      <x:c r="V799" t="n">
        <x:v>0</x:v>
      </x:c>
      <x:c r="W799" t="n">
        <x:v>0</x:v>
      </x:c>
    </x:row>
    <x:row r="800">
      <x:c r="J800" t="n">
        <x:v>1270</x:v>
      </x:c>
      <x:c r="K800" t="str">
        <x:v>13 Assassins</x:v>
      </x:c>
      <x:c r="L800" t="n">
        <x:v>40446</x:v>
      </x:c>
      <x:c r="M800" t="n">
        <x:v>125</x:v>
      </x:c>
      <x:c r="N800" t="str">
        <x:v>Action</x:v>
      </x:c>
      <x:c r="O800" t="str">
        <x:v>Takashi Miike</x:v>
      </x:c>
      <x:c r="P800" t="str">
        <x:v>Toho Company</x:v>
      </x:c>
      <x:c r="Q800" t="str">
        <x:v>Japan</x:v>
      </x:c>
      <x:c r="R800" t="str">
        <x:v>Japanese</x:v>
      </x:c>
      <x:c r="S800" t="n">
        <x:v>18</x:v>
      </x:c>
      <x:c r="T800" t="n">
        <x:v>6000000</x:v>
      </x:c>
      <x:c r="U800" t="n">
        <x:v>17100000</x:v>
      </x:c>
      <x:c r="V800" t="n">
        <x:v>0</x:v>
      </x:c>
      <x:c r="W800" t="n">
        <x:v>0</x:v>
      </x:c>
    </x:row>
    <x:row r="801">
      <x:c r="J801" t="n">
        <x:v>1271</x:v>
      </x:c>
      <x:c r="K801" t="str">
        <x:v>Hara-Kiri: Death of a Samurai</x:v>
      </x:c>
      <x:c r="L801" t="n">
        <x:v>40682</x:v>
      </x:c>
      <x:c r="M801" t="n">
        <x:v>126</x:v>
      </x:c>
      <x:c r="N801" t="str">
        <x:v>Drama</x:v>
      </x:c>
      <x:c r="O801" t="str">
        <x:v>Takashi Miike</x:v>
      </x:c>
      <x:c r="P801" t="str">
        <x:v>Recorded Picture Company</x:v>
      </x:c>
      <x:c r="Q801" t="str">
        <x:v>Japan</x:v>
      </x:c>
      <x:c r="R801" t="str">
        <x:v>Japanese</x:v>
      </x:c>
      <x:c r="S801" t="n">
        <x:v>18</x:v>
      </x:c>
      <x:c r="T801"/>
      <x:c r="U801"/>
      <x:c r="V801" t="n">
        <x:v>0</x:v>
      </x:c>
      <x:c r="W801" t="n">
        <x:v>0</x:v>
      </x:c>
    </x:row>
    <x:row r="802">
      <x:c r="J802" t="n">
        <x:v>1272</x:v>
      </x:c>
      <x:c r="K802" t="str">
        <x:v>Zatoichi</x:v>
      </x:c>
      <x:c r="L802" t="n">
        <x:v>37866</x:v>
      </x:c>
      <x:c r="M802" t="n">
        <x:v>116</x:v>
      </x:c>
      <x:c r="N802" t="str">
        <x:v>Action</x:v>
      </x:c>
      <x:c r="O802" t="str">
        <x:v>Takeshi Kitano</x:v>
      </x:c>
      <x:c r="P802" t="str">
        <x:v>Asahi National Broadcasting Company</x:v>
      </x:c>
      <x:c r="Q802" t="str">
        <x:v>Japan</x:v>
      </x:c>
      <x:c r="R802" t="str">
        <x:v>Japanese</x:v>
      </x:c>
      <x:c r="S802" t="n">
        <x:v>18</x:v>
      </x:c>
      <x:c r="T802"/>
      <x:c r="U802" t="n">
        <x:v>32300000</x:v>
      </x:c>
      <x:c r="V802" t="n">
        <x:v>0</x:v>
      </x:c>
      <x:c r="W802" t="n">
        <x:v>0</x:v>
      </x:c>
    </x:row>
    <x:row r="803">
      <x:c r="J803" t="n">
        <x:v>1273</x:v>
      </x:c>
      <x:c r="K803" t="str">
        <x:v>Thor</x:v>
      </x:c>
      <x:c r="L803" t="n">
        <x:v>40650</x:v>
      </x:c>
      <x:c r="M803" t="n">
        <x:v>114</x:v>
      </x:c>
      <x:c r="N803" t="str">
        <x:v>Action</x:v>
      </x:c>
      <x:c r="O803" t="str">
        <x:v>Kenneth Branagh</x:v>
      </x:c>
      <x:c r="P803" t="str">
        <x:v>Marvel Entertainment</x:v>
      </x:c>
      <x:c r="Q803" t="str">
        <x:v>United States</x:v>
      </x:c>
      <x:c r="R803" t="str">
        <x:v>English</x:v>
      </x:c>
      <x:c r="S803" t="str">
        <x:v>12A</x:v>
      </x:c>
      <x:c r="T803" t="n">
        <x:v>150000000</x:v>
      </x:c>
      <x:c r="U803" t="n">
        <x:v>449300000</x:v>
      </x:c>
      <x:c r="V803" t="n">
        <x:v>0</x:v>
      </x:c>
      <x:c r="W803" t="n">
        <x:v>0</x:v>
      </x:c>
    </x:row>
    <x:row r="804">
      <x:c r="J804" t="n">
        <x:v>1274</x:v>
      </x:c>
      <x:c r="K804" t="str">
        <x:v>Battleship</x:v>
      </x:c>
      <x:c r="L804" t="n">
        <x:v>41002</x:v>
      </x:c>
      <x:c r="M804" t="n">
        <x:v>131</x:v>
      </x:c>
      <x:c r="N804" t="str">
        <x:v>Action</x:v>
      </x:c>
      <x:c r="O804" t="str">
        <x:v>Peter Berg</x:v>
      </x:c>
      <x:c r="P804" t="str">
        <x:v>Hasbro Studios</x:v>
      </x:c>
      <x:c r="Q804" t="str">
        <x:v>United States</x:v>
      </x:c>
      <x:c r="R804" t="str">
        <x:v>English</x:v>
      </x:c>
      <x:c r="S804" t="str">
        <x:v>12A</x:v>
      </x:c>
      <x:c r="T804" t="n">
        <x:v>220000000</x:v>
      </x:c>
      <x:c r="U804" t="n">
        <x:v>303000000</x:v>
      </x:c>
      <x:c r="V804" t="n">
        <x:v>0</x:v>
      </x:c>
      <x:c r="W804" t="n">
        <x:v>0</x:v>
      </x:c>
    </x:row>
    <x:row r="805">
      <x:c r="J805" t="n">
        <x:v>1275</x:v>
      </x:c>
      <x:c r="K805" t="str">
        <x:v>The Kingdom</x:v>
      </x:c>
      <x:c r="L805" t="n">
        <x:v>39316</x:v>
      </x:c>
      <x:c r="M805" t="n">
        <x:v>109</x:v>
      </x:c>
      <x:c r="N805" t="str">
        <x:v>Thriller</x:v>
      </x:c>
      <x:c r="O805" t="str">
        <x:v>Peter Berg</x:v>
      </x:c>
      <x:c r="P805" t="str">
        <x:v>Relativity Media</x:v>
      </x:c>
      <x:c r="Q805" t="str">
        <x:v>United States</x:v>
      </x:c>
      <x:c r="R805" t="str">
        <x:v>English</x:v>
      </x:c>
      <x:c r="S805" t="n">
        <x:v>15</x:v>
      </x:c>
      <x:c r="T805" t="n">
        <x:v>70000000</x:v>
      </x:c>
      <x:c r="U805" t="n">
        <x:v>119000000</x:v>
      </x:c>
      <x:c r="V805" t="n">
        <x:v>0</x:v>
      </x:c>
      <x:c r="W805" t="n">
        <x:v>0</x:v>
      </x:c>
    </x:row>
    <x:row r="806">
      <x:c r="J806" t="n">
        <x:v>1276</x:v>
      </x:c>
      <x:c r="K806" t="str">
        <x:v>Lone Survivor</x:v>
      </x:c>
      <x:c r="L806" t="n">
        <x:v>41590</x:v>
      </x:c>
      <x:c r="M806" t="n">
        <x:v>121</x:v>
      </x:c>
      <x:c r="N806" t="str">
        <x:v>War</x:v>
      </x:c>
      <x:c r="O806" t="str">
        <x:v>Peter Berg</x:v>
      </x:c>
      <x:c r="P806" t="str">
        <x:v>Weed Road Pictures</x:v>
      </x:c>
      <x:c r="Q806" t="str">
        <x:v>United States</x:v>
      </x:c>
      <x:c r="R806" t="str">
        <x:v>English</x:v>
      </x:c>
      <x:c r="S806" t="n">
        <x:v>15</x:v>
      </x:c>
      <x:c r="T806" t="n">
        <x:v>40000000</x:v>
      </x:c>
      <x:c r="U806" t="n">
        <x:v>154800000</x:v>
      </x:c>
      <x:c r="V806" t="n">
        <x:v>2</x:v>
      </x:c>
      <x:c r="W806" t="n">
        <x:v>0</x:v>
      </x:c>
    </x:row>
    <x:row r="807">
      <x:c r="J807" t="n">
        <x:v>1277</x:v>
      </x:c>
      <x:c r="K807" t="str">
        <x:v>Deepwater Horizon</x:v>
      </x:c>
      <x:c r="L807" t="n">
        <x:v>42626</x:v>
      </x:c>
      <x:c r="M807" t="n">
        <x:v>107</x:v>
      </x:c>
      <x:c r="N807" t="str">
        <x:v>Disaster</x:v>
      </x:c>
      <x:c r="O807" t="str">
        <x:v>Peter Berg</x:v>
      </x:c>
      <x:c r="P807" t="str">
        <x:v>di Bonaventura Pictures</x:v>
      </x:c>
      <x:c r="Q807" t="str">
        <x:v>United States</x:v>
      </x:c>
      <x:c r="R807" t="str">
        <x:v>English</x:v>
      </x:c>
      <x:c r="S807" t="str">
        <x:v>12A</x:v>
      </x:c>
      <x:c r="T807" t="n">
        <x:v>110000000</x:v>
      </x:c>
      <x:c r="U807" t="n">
        <x:v>117300000</x:v>
      </x:c>
      <x:c r="V807" t="n">
        <x:v>0</x:v>
      </x:c>
      <x:c r="W807" t="n">
        <x:v>0</x:v>
      </x:c>
    </x:row>
    <x:row r="808">
      <x:c r="J808" t="n">
        <x:v>1278</x:v>
      </x:c>
      <x:c r="K808" t="str">
        <x:v>Boiling Point</x:v>
      </x:c>
      <x:c r="L808" t="n">
        <x:v>33131</x:v>
      </x:c>
      <x:c r="M808" t="n">
        <x:v>96</x:v>
      </x:c>
      <x:c r="N808" t="str">
        <x:v>Crime</x:v>
      </x:c>
      <x:c r="O808" t="str">
        <x:v>Takeshi Kitano</x:v>
      </x:c>
      <x:c r="P808" t="str">
        <x:v>Bandai Visual Company</x:v>
      </x:c>
      <x:c r="Q808" t="str">
        <x:v>Japan</x:v>
      </x:c>
      <x:c r="R808" t="str">
        <x:v>Japanese</x:v>
      </x:c>
      <x:c r="S808" t="n">
        <x:v>18</x:v>
      </x:c>
      <x:c r="T808"/>
      <x:c r="U808"/>
      <x:c r="V808" t="n">
        <x:v>0</x:v>
      </x:c>
      <x:c r="W808" t="n">
        <x:v>0</x:v>
      </x:c>
    </x:row>
    <x:row r="809">
      <x:c r="J809" t="n">
        <x:v>1279</x:v>
      </x:c>
      <x:c r="K809" t="str">
        <x:v>Outrage</x:v>
      </x:c>
      <x:c r="L809" t="n">
        <x:v>40315</x:v>
      </x:c>
      <x:c r="M809" t="n">
        <x:v>109</x:v>
      </x:c>
      <x:c r="N809" t="str">
        <x:v>Crime</x:v>
      </x:c>
      <x:c r="O809" t="str">
        <x:v>Takeshi Kitano</x:v>
      </x:c>
      <x:c r="P809" t="str">
        <x:v>Bandai Visual Company</x:v>
      </x:c>
      <x:c r="Q809" t="str">
        <x:v>Japan</x:v>
      </x:c>
      <x:c r="R809" t="str">
        <x:v>Japanese</x:v>
      </x:c>
      <x:c r="S809" t="n">
        <x:v>18</x:v>
      </x:c>
      <x:c r="T809"/>
      <x:c r="U809"/>
      <x:c r="V809" t="n">
        <x:v>0</x:v>
      </x:c>
      <x:c r="W809" t="n">
        <x:v>0</x:v>
      </x:c>
    </x:row>
    <x:row r="810">
      <x:c r="J810" t="n">
        <x:v>1280</x:v>
      </x:c>
      <x:c r="K810" t="str">
        <x:v>Beyond Outrage</x:v>
      </x:c>
      <x:c r="L810" t="n">
        <x:v>41154</x:v>
      </x:c>
      <x:c r="M810" t="n">
        <x:v>112</x:v>
      </x:c>
      <x:c r="N810" t="str">
        <x:v>Crime</x:v>
      </x:c>
      <x:c r="O810" t="str">
        <x:v>Takeshi Kitano</x:v>
      </x:c>
      <x:c r="P810" t="str">
        <x:v>Bandai Visual Company</x:v>
      </x:c>
      <x:c r="Q810" t="str">
        <x:v>Japan</x:v>
      </x:c>
      <x:c r="R810" t="str">
        <x:v>Japanese</x:v>
      </x:c>
      <x:c r="S810" t="str">
        <x:v>Unknown</x:v>
      </x:c>
      <x:c r="T810"/>
      <x:c r="U810" t="n">
        <x:v>16211000</x:v>
      </x:c>
      <x:c r="V810" t="n">
        <x:v>0</x:v>
      </x:c>
      <x:c r="W810" t="n">
        <x:v>0</x:v>
      </x:c>
    </x:row>
    <x:row r="811">
      <x:c r="J811" t="n">
        <x:v>1281</x:v>
      </x:c>
      <x:c r="K811" t="str">
        <x:v>Battle Royale</x:v>
      </x:c>
      <x:c r="L811" t="n">
        <x:v>36876</x:v>
      </x:c>
      <x:c r="M811" t="n">
        <x:v>113</x:v>
      </x:c>
      <x:c r="N811" t="str">
        <x:v>Action</x:v>
      </x:c>
      <x:c r="O811" t="str">
        <x:v>Kinji Fukasaku</x:v>
      </x:c>
      <x:c r="P811" t="str">
        <x:v>AM Associates</x:v>
      </x:c>
      <x:c r="Q811" t="str">
        <x:v>Japan</x:v>
      </x:c>
      <x:c r="R811" t="str">
        <x:v>Japanese</x:v>
      </x:c>
      <x:c r="S811" t="n">
        <x:v>18</x:v>
      </x:c>
      <x:c r="T811" t="n">
        <x:v>4500000</x:v>
      </x:c>
      <x:c r="U811" t="n">
        <x:v>25000000</x:v>
      </x:c>
      <x:c r="V811" t="n">
        <x:v>0</x:v>
      </x:c>
      <x:c r="W811" t="n">
        <x:v>0</x:v>
      </x:c>
    </x:row>
    <x:row r="812">
      <x:c r="J812" t="n">
        <x:v>1282</x:v>
      </x:c>
      <x:c r="K812" t="str">
        <x:v>The Fall of Ako Castle</x:v>
      </x:c>
      <x:c r="L812" t="n">
        <x:v>28791</x:v>
      </x:c>
      <x:c r="M812" t="n">
        <x:v>158</x:v>
      </x:c>
      <x:c r="N812" t="str">
        <x:v>Action</x:v>
      </x:c>
      <x:c r="O812" t="str">
        <x:v>Kinji Fukasaku</x:v>
      </x:c>
      <x:c r="P812" t="str">
        <x:v>Toei Kyoto</x:v>
      </x:c>
      <x:c r="Q812" t="str">
        <x:v>Japan</x:v>
      </x:c>
      <x:c r="R812" t="str">
        <x:v>Japanese</x:v>
      </x:c>
      <x:c r="S812" t="str">
        <x:v>Unknown</x:v>
      </x:c>
      <x:c r="T812"/>
      <x:c r="U812"/>
      <x:c r="V812" t="n">
        <x:v>0</x:v>
      </x:c>
      <x:c r="W812" t="n">
        <x:v>0</x:v>
      </x:c>
    </x:row>
    <x:row r="813">
      <x:c r="J813" t="n">
        <x:v>1283</x:v>
      </x:c>
      <x:c r="K813" t="str">
        <x:v>Shogun's Samurai</x:v>
      </x:c>
      <x:c r="L813" t="n">
        <x:v>28511</x:v>
      </x:c>
      <x:c r="M813" t="n">
        <x:v>130</x:v>
      </x:c>
      <x:c r="N813" t="str">
        <x:v>Action</x:v>
      </x:c>
      <x:c r="O813" t="str">
        <x:v>Kinji Fukasaku</x:v>
      </x:c>
      <x:c r="P813" t="str">
        <x:v>Toei Kyoto</x:v>
      </x:c>
      <x:c r="Q813" t="str">
        <x:v>Japan</x:v>
      </x:c>
      <x:c r="R813" t="str">
        <x:v>Japanese</x:v>
      </x:c>
      <x:c r="S813" t="str">
        <x:v>Unknown</x:v>
      </x:c>
      <x:c r="T813"/>
      <x:c r="U813"/>
      <x:c r="V813" t="n">
        <x:v>0</x:v>
      </x:c>
      <x:c r="W813" t="n">
        <x:v>0</x:v>
      </x:c>
    </x:row>
    <x:row r="814">
      <x:c r="J814" t="n">
        <x:v>1284</x:v>
      </x:c>
      <x:c r="K814" t="str">
        <x:v>Samurai Reincarnation</x:v>
      </x:c>
      <x:c r="L814" t="n">
        <x:v>29743</x:v>
      </x:c>
      <x:c r="M814" t="n">
        <x:v>122</x:v>
      </x:c>
      <x:c r="N814" t="str">
        <x:v>Action</x:v>
      </x:c>
      <x:c r="O814" t="str">
        <x:v>Kinji Fukasaku</x:v>
      </x:c>
      <x:c r="P814" t="str">
        <x:v>Toei Kyoto</x:v>
      </x:c>
      <x:c r="Q814" t="str">
        <x:v>Japan</x:v>
      </x:c>
      <x:c r="R814" t="str">
        <x:v>Japanese</x:v>
      </x:c>
      <x:c r="S814" t="str">
        <x:v>Unknown</x:v>
      </x:c>
      <x:c r="T814"/>
      <x:c r="U814"/>
      <x:c r="V814" t="n">
        <x:v>0</x:v>
      </x:c>
      <x:c r="W814" t="n">
        <x:v>0</x:v>
      </x:c>
    </x:row>
    <x:row r="815">
      <x:c r="J815" t="n">
        <x:v>1285</x:v>
      </x:c>
      <x:c r="K815" t="str">
        <x:v>The Fast and the Furious: Tokyo Drift</x:v>
      </x:c>
      <x:c r="L815" t="n">
        <x:v>38872</x:v>
      </x:c>
      <x:c r="M815" t="n">
        <x:v>104</x:v>
      </x:c>
      <x:c r="N815" t="str">
        <x:v>Action</x:v>
      </x:c>
      <x:c r="O815" t="str">
        <x:v>Justin Lin</x:v>
      </x:c>
      <x:c r="P815" t="str">
        <x:v>Relativity Media</x:v>
      </x:c>
      <x:c r="Q815" t="str">
        <x:v>United States</x:v>
      </x:c>
      <x:c r="R815" t="str">
        <x:v>English</x:v>
      </x:c>
      <x:c r="S815" t="str">
        <x:v>12A</x:v>
      </x:c>
      <x:c r="T815" t="n">
        <x:v>85000000</x:v>
      </x:c>
      <x:c r="U815" t="n">
        <x:v>158500000</x:v>
      </x:c>
      <x:c r="V815" t="n">
        <x:v>0</x:v>
      </x:c>
      <x:c r="W815" t="n">
        <x:v>0</x:v>
      </x:c>
    </x:row>
    <x:row r="816">
      <x:c r="J816" t="n">
        <x:v>1286</x:v>
      </x:c>
      <x:c r="K816" t="str">
        <x:v>The Bushido Blade</x:v>
      </x:c>
      <x:c r="L816" t="n">
        <x:v>29910</x:v>
      </x:c>
      <x:c r="M816" t="n">
        <x:v>104</x:v>
      </x:c>
      <x:c r="N816" t="str">
        <x:v>Action</x:v>
      </x:c>
      <x:c r="O816" t="str">
        <x:v>Tom Kotani</x:v>
      </x:c>
      <x:c r="P816" t="str">
        <x:v>Rankin/Bass Productions</x:v>
      </x:c>
      <x:c r="Q816" t="str">
        <x:v>United States</x:v>
      </x:c>
      <x:c r="R816" t="str">
        <x:v>English</x:v>
      </x:c>
      <x:c r="S816" t="str">
        <x:v>Unknown</x:v>
      </x:c>
      <x:c r="T816"/>
      <x:c r="U816"/>
      <x:c r="V816" t="n">
        <x:v>0</x:v>
      </x:c>
      <x:c r="W816" t="n">
        <x:v>0</x:v>
      </x:c>
    </x:row>
    <x:row r="817">
      <x:c r="J817" t="n">
        <x:v>1287</x:v>
      </x:c>
      <x:c r="K817" t="str">
        <x:v>When the Last Sword Is Drawn</x:v>
      </x:c>
      <x:c r="L817" t="n">
        <x:v>37564</x:v>
      </x:c>
      <x:c r="M817" t="n">
        <x:v>137</x:v>
      </x:c>
      <x:c r="N817" t="str">
        <x:v>Drama</x:v>
      </x:c>
      <x:c r="O817" t="str">
        <x:v>Yojiro Takita</x:v>
      </x:c>
      <x:c r="P817" t="str">
        <x:v>TV Tokyo</x:v>
      </x:c>
      <x:c r="Q817" t="str">
        <x:v>Japan</x:v>
      </x:c>
      <x:c r="R817" t="str">
        <x:v>Japanese</x:v>
      </x:c>
      <x:c r="S817" t="n">
        <x:v>15</x:v>
      </x:c>
      <x:c r="T817" t="n">
        <x:v>4000000</x:v>
      </x:c>
      <x:c r="U817"/>
      <x:c r="V817" t="n">
        <x:v>0</x:v>
      </x:c>
      <x:c r="W817" t="n">
        <x:v>0</x:v>
      </x:c>
    </x:row>
    <x:row r="818">
      <x:c r="J818" t="n">
        <x:v>1288</x:v>
      </x:c>
      <x:c r="K818" t="str">
        <x:v>Departures</x:v>
      </x:c>
      <x:c r="L818" t="n">
        <x:v>39683</x:v>
      </x:c>
      <x:c r="M818" t="n">
        <x:v>130</x:v>
      </x:c>
      <x:c r="N818" t="str">
        <x:v>Drama</x:v>
      </x:c>
      <x:c r="O818" t="str">
        <x:v>Yojiro Takita</x:v>
      </x:c>
      <x:c r="P818" t="str">
        <x:v>Sedic International</x:v>
      </x:c>
      <x:c r="Q818" t="str">
        <x:v>Japan</x:v>
      </x:c>
      <x:c r="R818" t="str">
        <x:v>Japanese</x:v>
      </x:c>
      <x:c r="S818" t="str">
        <x:v>12A</x:v>
      </x:c>
      <x:c r="T818"/>
      <x:c r="U818" t="n">
        <x:v>70000000</x:v>
      </x:c>
      <x:c r="V818" t="n">
        <x:v>1</x:v>
      </x:c>
      <x:c r="W818" t="n">
        <x:v>1</x:v>
      </x:c>
    </x:row>
    <x:row r="819">
      <x:c r="J819" t="n">
        <x:v>1289</x:v>
      </x:c>
      <x:c r="K819" t="str">
        <x:v>The Twilight Samurai</x:v>
      </x:c>
      <x:c r="L819" t="n">
        <x:v>37562</x:v>
      </x:c>
      <x:c r="M819" t="n">
        <x:v>129</x:v>
      </x:c>
      <x:c r="N819" t="str">
        <x:v>Drama</x:v>
      </x:c>
      <x:c r="O819" t="str">
        <x:v>Yoji Yamada</x:v>
      </x:c>
      <x:c r="P819" t="str">
        <x:v>Eisei Gekijo</x:v>
      </x:c>
      <x:c r="Q819" t="str">
        <x:v>Japan</x:v>
      </x:c>
      <x:c r="R819" t="str">
        <x:v>Japanese</x:v>
      </x:c>
      <x:c r="S819" t="n">
        <x:v>12</x:v>
      </x:c>
      <x:c r="T819" t="n">
        <x:v>5000000</x:v>
      </x:c>
      <x:c r="U819"/>
      <x:c r="V819" t="n">
        <x:v>1</x:v>
      </x:c>
      <x:c r="W819" t="n">
        <x:v>0</x:v>
      </x:c>
    </x:row>
    <x:row r="820">
      <x:c r="J820" t="n">
        <x:v>1290</x:v>
      </x:c>
      <x:c r="K820" t="str">
        <x:v>The Hidden Blade</x:v>
      </x:c>
      <x:c r="L820" t="n">
        <x:v>38290</x:v>
      </x:c>
      <x:c r="M820" t="n">
        <x:v>132</x:v>
      </x:c>
      <x:c r="N820" t="str">
        <x:v>Drama</x:v>
      </x:c>
      <x:c r="O820" t="str">
        <x:v>Yoji Yamada</x:v>
      </x:c>
      <x:c r="P820" t="str">
        <x:v>Eisei Gekijo</x:v>
      </x:c>
      <x:c r="Q820" t="str">
        <x:v>Japan</x:v>
      </x:c>
      <x:c r="R820" t="str">
        <x:v>Japanese</x:v>
      </x:c>
      <x:c r="S820" t="n">
        <x:v>15</x:v>
      </x:c>
      <x:c r="T820"/>
      <x:c r="U820"/>
      <x:c r="V820" t="n">
        <x:v>0</x:v>
      </x:c>
      <x:c r="W820" t="n">
        <x:v>0</x:v>
      </x:c>
    </x:row>
    <x:row r="821">
      <x:c r="J821" t="n">
        <x:v>1291</x:v>
      </x:c>
      <x:c r="K821" t="str">
        <x:v>Love and Honor</x:v>
      </x:c>
      <x:c r="L821" t="n">
        <x:v>39010</x:v>
      </x:c>
      <x:c r="M821" t="n">
        <x:v>118</x:v>
      </x:c>
      <x:c r="N821" t="str">
        <x:v>Drama</x:v>
      </x:c>
      <x:c r="O821" t="str">
        <x:v>Yoji Yamada</x:v>
      </x:c>
      <x:c r="P821" t="str">
        <x:v>Asahi National Broadcasting Company</x:v>
      </x:c>
      <x:c r="Q821" t="str">
        <x:v>Japan</x:v>
      </x:c>
      <x:c r="R821" t="str">
        <x:v>Japanese</x:v>
      </x:c>
      <x:c r="S821" t="n">
        <x:v>12</x:v>
      </x:c>
      <x:c r="T821"/>
      <x:c r="U821" t="n">
        <x:v>33755000</x:v>
      </x:c>
      <x:c r="V821" t="n">
        <x:v>0</x:v>
      </x:c>
      <x:c r="W821" t="n">
        <x:v>0</x:v>
      </x:c>
    </x:row>
    <x:row r="822">
      <x:c r="J822" t="n">
        <x:v>1292</x:v>
      </x:c>
      <x:c r="K822" t="str">
        <x:v>Lone Wolf and Cub: Sword of Vengeance</x:v>
      </x:c>
      <x:c r="L822" t="n">
        <x:v>26390</x:v>
      </x:c>
      <x:c r="M822" t="n">
        <x:v>83</x:v>
      </x:c>
      <x:c r="N822" t="str">
        <x:v>Adventure</x:v>
      </x:c>
      <x:c r="O822" t="str">
        <x:v>Kenji Misumi</x:v>
      </x:c>
      <x:c r="P822" t="str">
        <x:v>Toho Company</x:v>
      </x:c>
      <x:c r="Q822" t="str">
        <x:v>Japan</x:v>
      </x:c>
      <x:c r="R822" t="str">
        <x:v>Japanese</x:v>
      </x:c>
      <x:c r="S822" t="n">
        <x:v>18</x:v>
      </x:c>
      <x:c r="T822"/>
      <x:c r="U822"/>
      <x:c r="V822" t="n">
        <x:v>0</x:v>
      </x:c>
      <x:c r="W822" t="n">
        <x:v>0</x:v>
      </x:c>
    </x:row>
    <x:row r="823">
      <x:c r="J823" t="n">
        <x:v>1293</x:v>
      </x:c>
      <x:c r="K823" t="str">
        <x:v>Lone Wolf and Cub: Baby Cart at the River Styx</x:v>
      </x:c>
      <x:c r="L823" t="n">
        <x:v>26416</x:v>
      </x:c>
      <x:c r="M823" t="n">
        <x:v>85</x:v>
      </x:c>
      <x:c r="N823" t="str">
        <x:v>Adventure</x:v>
      </x:c>
      <x:c r="O823" t="str">
        <x:v>Kenji Misumi</x:v>
      </x:c>
      <x:c r="P823" t="str">
        <x:v>Toho Company</x:v>
      </x:c>
      <x:c r="Q823" t="str">
        <x:v>Japan</x:v>
      </x:c>
      <x:c r="R823" t="str">
        <x:v>Japanese</x:v>
      </x:c>
      <x:c r="S823" t="n">
        <x:v>18</x:v>
      </x:c>
      <x:c r="T823"/>
      <x:c r="U823"/>
      <x:c r="V823" t="n">
        <x:v>0</x:v>
      </x:c>
      <x:c r="W823" t="n">
        <x:v>0</x:v>
      </x:c>
    </x:row>
    <x:row r="824">
      <x:c r="J824" t="n">
        <x:v>1294</x:v>
      </x:c>
      <x:c r="K824" t="str">
        <x:v>Lone Wolf and Cub: Baby Cart to Hades</x:v>
      </x:c>
      <x:c r="L824" t="n">
        <x:v>26544</x:v>
      </x:c>
      <x:c r="M824" t="n">
        <x:v>89</x:v>
      </x:c>
      <x:c r="N824" t="str">
        <x:v>Adventure</x:v>
      </x:c>
      <x:c r="O824" t="str">
        <x:v>Kenji Misumi</x:v>
      </x:c>
      <x:c r="P824" t="str">
        <x:v>Toho Company</x:v>
      </x:c>
      <x:c r="Q824" t="str">
        <x:v>Japan</x:v>
      </x:c>
      <x:c r="R824" t="str">
        <x:v>Japanese</x:v>
      </x:c>
      <x:c r="S824" t="n">
        <x:v>18</x:v>
      </x:c>
      <x:c r="T824"/>
      <x:c r="U824"/>
      <x:c r="V824" t="n">
        <x:v>0</x:v>
      </x:c>
      <x:c r="W824" t="n">
        <x:v>0</x:v>
      </x:c>
    </x:row>
    <x:row r="825">
      <x:c r="J825" t="n">
        <x:v>1295</x:v>
      </x:c>
      <x:c r="K825" t="str">
        <x:v>Lone Wolf and Cub: Baby Cart in Peril</x:v>
      </x:c>
      <x:c r="L825" t="n">
        <x:v>26604</x:v>
      </x:c>
      <x:c r="M825" t="n">
        <x:v>81</x:v>
      </x:c>
      <x:c r="N825" t="str">
        <x:v>Adventure</x:v>
      </x:c>
      <x:c r="O825" t="str">
        <x:v>Buichi Saito</x:v>
      </x:c>
      <x:c r="P825" t="str">
        <x:v>Toho Company</x:v>
      </x:c>
      <x:c r="Q825" t="str">
        <x:v>Japan</x:v>
      </x:c>
      <x:c r="R825" t="str">
        <x:v>Japanese</x:v>
      </x:c>
      <x:c r="S825" t="n">
        <x:v>18</x:v>
      </x:c>
      <x:c r="T825"/>
      <x:c r="U825"/>
      <x:c r="V825" t="n">
        <x:v>0</x:v>
      </x:c>
      <x:c r="W825" t="n">
        <x:v>0</x:v>
      </x:c>
    </x:row>
    <x:row r="826">
      <x:c r="J826" t="n">
        <x:v>1296</x:v>
      </x:c>
      <x:c r="K826" t="str">
        <x:v>Lone Wolf and Cub: Baby Cart in the Land of Demons</x:v>
      </x:c>
      <x:c r="L826" t="n">
        <x:v>26887</x:v>
      </x:c>
      <x:c r="M826" t="n">
        <x:v>89</x:v>
      </x:c>
      <x:c r="N826" t="str">
        <x:v>Adventure</x:v>
      </x:c>
      <x:c r="O826" t="str">
        <x:v>Kenji Misumi</x:v>
      </x:c>
      <x:c r="P826" t="str">
        <x:v>Toho Company</x:v>
      </x:c>
      <x:c r="Q826" t="str">
        <x:v>Japan</x:v>
      </x:c>
      <x:c r="R826" t="str">
        <x:v>Japanese</x:v>
      </x:c>
      <x:c r="S826" t="n">
        <x:v>18</x:v>
      </x:c>
      <x:c r="T826"/>
      <x:c r="U826"/>
      <x:c r="V826" t="n">
        <x:v>0</x:v>
      </x:c>
      <x:c r="W826" t="n">
        <x:v>0</x:v>
      </x:c>
    </x:row>
    <x:row r="827">
      <x:c r="J827" t="n">
        <x:v>1297</x:v>
      </x:c>
      <x:c r="K827" t="str">
        <x:v>Lone Wolf and Cub: White Heaven in Hell</x:v>
      </x:c>
      <x:c r="L827" t="n">
        <x:v>27143</x:v>
      </x:c>
      <x:c r="M827" t="n">
        <x:v>84</x:v>
      </x:c>
      <x:c r="N827" t="str">
        <x:v>Adventure</x:v>
      </x:c>
      <x:c r="O827" t="str">
        <x:v>Yoshiyuki Kuroda</x:v>
      </x:c>
      <x:c r="P827" t="str">
        <x:v>Toho Company</x:v>
      </x:c>
      <x:c r="Q827" t="str">
        <x:v>Japan</x:v>
      </x:c>
      <x:c r="R827" t="str">
        <x:v>Japanese</x:v>
      </x:c>
      <x:c r="S827" t="n">
        <x:v>18</x:v>
      </x:c>
      <x:c r="T827"/>
      <x:c r="U827"/>
      <x:c r="V827" t="n">
        <x:v>0</x:v>
      </x:c>
      <x:c r="W827" t="n">
        <x:v>0</x:v>
      </x:c>
    </x:row>
    <x:row r="828">
      <x:c r="J828" t="n">
        <x:v>1298</x:v>
      </x:c>
      <x:c r="K828" t="str">
        <x:v>Godzilla</x:v>
      </x:c>
      <x:c r="L828" t="n">
        <x:v>20031</x:v>
      </x:c>
      <x:c r="M828" t="n">
        <x:v>96</x:v>
      </x:c>
      <x:c r="N828" t="str">
        <x:v>Action</x:v>
      </x:c>
      <x:c r="O828" t="str">
        <x:v>Ishiro Honda</x:v>
      </x:c>
      <x:c r="P828" t="str">
        <x:v>Toho Company</x:v>
      </x:c>
      <x:c r="Q828" t="str">
        <x:v>Japan</x:v>
      </x:c>
      <x:c r="R828" t="str">
        <x:v>Japanese</x:v>
      </x:c>
      <x:c r="S828" t="str">
        <x:v>PG</x:v>
      </x:c>
      <x:c r="T828" t="n">
        <x:v>175000</x:v>
      </x:c>
      <x:c r="U828"/>
      <x:c r="V828" t="n">
        <x:v>0</x:v>
      </x:c>
      <x:c r="W828" t="n">
        <x:v>0</x:v>
      </x:c>
    </x:row>
    <x:row r="829">
      <x:c r="J829" t="n">
        <x:v>1299</x:v>
      </x:c>
      <x:c r="K829" t="str">
        <x:v>King Kong vs. Godzilla</x:v>
      </x:c>
      <x:c r="L829" t="n">
        <x:v>22869</x:v>
      </x:c>
      <x:c r="M829" t="n">
        <x:v>97</x:v>
      </x:c>
      <x:c r="N829" t="str">
        <x:v>Action</x:v>
      </x:c>
      <x:c r="O829" t="str">
        <x:v>Ishiro Honda</x:v>
      </x:c>
      <x:c r="P829" t="str">
        <x:v>Toho Company</x:v>
      </x:c>
      <x:c r="Q829" t="str">
        <x:v>Japan</x:v>
      </x:c>
      <x:c r="R829" t="str">
        <x:v>Japanese</x:v>
      </x:c>
      <x:c r="S829" t="str">
        <x:v>PG</x:v>
      </x:c>
      <x:c r="T829" t="n">
        <x:v>200000</x:v>
      </x:c>
      <x:c r="U829"/>
      <x:c r="V829" t="n">
        <x:v>0</x:v>
      </x:c>
      <x:c r="W829" t="n">
        <x:v>0</x:v>
      </x:c>
    </x:row>
    <x:row r="830">
      <x:c r="J830" t="n">
        <x:v>1300</x:v>
      </x:c>
      <x:c r="K830" t="str">
        <x:v>Mothra vs. Godzilla</x:v>
      </x:c>
      <x:c r="L830" t="n">
        <x:v>23496</x:v>
      </x:c>
      <x:c r="M830" t="n">
        <x:v>88</x:v>
      </x:c>
      <x:c r="N830" t="str">
        <x:v>Action</x:v>
      </x:c>
      <x:c r="O830" t="str">
        <x:v>Ishiro Honda</x:v>
      </x:c>
      <x:c r="P830" t="str">
        <x:v>Toho Company</x:v>
      </x:c>
      <x:c r="Q830" t="str">
        <x:v>Japan</x:v>
      </x:c>
      <x:c r="R830" t="str">
        <x:v>Japanese</x:v>
      </x:c>
      <x:c r="S830" t="str">
        <x:v>PG</x:v>
      </x:c>
      <x:c r="T830"/>
      <x:c r="U830"/>
      <x:c r="V830" t="n">
        <x:v>0</x:v>
      </x:c>
      <x:c r="W830" t="n">
        <x:v>0</x:v>
      </x:c>
    </x:row>
    <x:row r="831">
      <x:c r="J831" t="n">
        <x:v>1301</x:v>
      </x:c>
      <x:c r="K831" t="str">
        <x:v>District 13</x:v>
      </x:c>
      <x:c r="L831" t="n">
        <x:v>38301</x:v>
      </x:c>
      <x:c r="M831" t="n">
        <x:v>86</x:v>
      </x:c>
      <x:c r="N831" t="str">
        <x:v>Action</x:v>
      </x:c>
      <x:c r="O831" t="str">
        <x:v>Pierre Morel</x:v>
      </x:c>
      <x:c r="P831" t="str">
        <x:v>EuropaCorp</x:v>
      </x:c>
      <x:c r="Q831" t="str">
        <x:v>France</x:v>
      </x:c>
      <x:c r="R831" t="str">
        <x:v>French</x:v>
      </x:c>
      <x:c r="S831" t="n">
        <x:v>15</x:v>
      </x:c>
      <x:c r="T831" t="n">
        <x:v>12000000</x:v>
      </x:c>
      <x:c r="U831"/>
      <x:c r="V831" t="n">
        <x:v>0</x:v>
      </x:c>
      <x:c r="W831" t="n">
        <x:v>0</x:v>
      </x:c>
    </x:row>
    <x:row r="832">
      <x:c r="J832" t="n">
        <x:v>1302</x:v>
      </x:c>
      <x:c r="K832" t="str">
        <x:v>District 13: Ultimatum</x:v>
      </x:c>
      <x:c r="L832" t="n">
        <x:v>39862</x:v>
      </x:c>
      <x:c r="M832" t="n">
        <x:v>106</x:v>
      </x:c>
      <x:c r="N832" t="str">
        <x:v>Action</x:v>
      </x:c>
      <x:c r="O832" t="str">
        <x:v>Patrick Alessandrin</x:v>
      </x:c>
      <x:c r="P832" t="str">
        <x:v>EuropaCorp</x:v>
      </x:c>
      <x:c r="Q832" t="str">
        <x:v>France</x:v>
      </x:c>
      <x:c r="R832" t="str">
        <x:v>French</x:v>
      </x:c>
      <x:c r="S832" t="n">
        <x:v>15</x:v>
      </x:c>
      <x:c r="T832" t="n">
        <x:v>13600000</x:v>
      </x:c>
      <x:c r="U832" t="n">
        <x:v>14100000</x:v>
      </x:c>
      <x:c r="V832" t="n">
        <x:v>0</x:v>
      </x:c>
      <x:c r="W832" t="n">
        <x:v>0</x:v>
      </x:c>
    </x:row>
    <x:row r="833">
      <x:c r="J833" t="n">
        <x:v>1303</x:v>
      </x:c>
      <x:c r="K833" t="str">
        <x:v>Taken</x:v>
      </x:c>
      <x:c r="L833" t="n">
        <x:v>39505</x:v>
      </x:c>
      <x:c r="M833" t="n">
        <x:v>90</x:v>
      </x:c>
      <x:c r="N833" t="str">
        <x:v>Thriller</x:v>
      </x:c>
      <x:c r="O833" t="str">
        <x:v>Pierre Morel</x:v>
      </x:c>
      <x:c r="P833" t="str">
        <x:v>EuropaCorp</x:v>
      </x:c>
      <x:c r="Q833" t="str">
        <x:v>France</x:v>
      </x:c>
      <x:c r="R833" t="str">
        <x:v>English</x:v>
      </x:c>
      <x:c r="S833" t="n">
        <x:v>18</x:v>
      </x:c>
      <x:c r="T833" t="n">
        <x:v>22000000</x:v>
      </x:c>
      <x:c r="U833" t="n">
        <x:v>226800000</x:v>
      </x:c>
      <x:c r="V833" t="n">
        <x:v>0</x:v>
      </x:c>
      <x:c r="W833" t="n">
        <x:v>0</x:v>
      </x:c>
    </x:row>
    <x:row r="834">
      <x:c r="J834" t="n">
        <x:v>1304</x:v>
      </x:c>
      <x:c r="K834" t="str">
        <x:v>From Paris with Love</x:v>
      </x:c>
      <x:c r="L834" t="n">
        <x:v>40214</x:v>
      </x:c>
      <x:c r="M834" t="n">
        <x:v>92</x:v>
      </x:c>
      <x:c r="N834" t="str">
        <x:v>Thriller</x:v>
      </x:c>
      <x:c r="O834" t="str">
        <x:v>Pierre Morel</x:v>
      </x:c>
      <x:c r="P834" t="str">
        <x:v>EuropaCorp</x:v>
      </x:c>
      <x:c r="Q834" t="str">
        <x:v>France</x:v>
      </x:c>
      <x:c r="R834" t="str">
        <x:v>English</x:v>
      </x:c>
      <x:c r="S834" t="n">
        <x:v>15</x:v>
      </x:c>
      <x:c r="T834" t="n">
        <x:v>52000000</x:v>
      </x:c>
      <x:c r="U834" t="n">
        <x:v>52800000</x:v>
      </x:c>
      <x:c r="V834" t="n">
        <x:v>0</x:v>
      </x:c>
      <x:c r="W834" t="n">
        <x:v>0</x:v>
      </x:c>
    </x:row>
    <x:row r="835">
      <x:c r="J835" t="n">
        <x:v>1305</x:v>
      </x:c>
      <x:c r="K835" t="str">
        <x:v>The Gunman</x:v>
      </x:c>
      <x:c r="L835" t="n">
        <x:v>42083</x:v>
      </x:c>
      <x:c r="M835" t="n">
        <x:v>115</x:v>
      </x:c>
      <x:c r="N835" t="str">
        <x:v>Thriller</x:v>
      </x:c>
      <x:c r="O835" t="str">
        <x:v>Pierre Morel</x:v>
      </x:c>
      <x:c r="P835" t="str">
        <x:v>Silver Pictures</x:v>
      </x:c>
      <x:c r="Q835" t="str">
        <x:v>United States</x:v>
      </x:c>
      <x:c r="R835" t="str">
        <x:v>English</x:v>
      </x:c>
      <x:c r="S835" t="n">
        <x:v>15</x:v>
      </x:c>
      <x:c r="T835" t="n">
        <x:v>40000000</x:v>
      </x:c>
      <x:c r="U835" t="n">
        <x:v>24200000</x:v>
      </x:c>
      <x:c r="V835" t="n">
        <x:v>0</x:v>
      </x:c>
      <x:c r="W835" t="n">
        <x:v>0</x:v>
      </x:c>
    </x:row>
    <x:row r="836">
      <x:c r="J836" t="n">
        <x:v>1306</x:v>
      </x:c>
      <x:c r="K836" t="str">
        <x:v>Mesrine Part 1: Killer Instinct</x:v>
      </x:c>
      <x:c r="L836" t="n">
        <x:v>39743</x:v>
      </x:c>
      <x:c r="M836" t="n">
        <x:v>113</x:v>
      </x:c>
      <x:c r="N836" t="str">
        <x:v>Crime</x:v>
      </x:c>
      <x:c r="O836" t="str">
        <x:v>Jean-Francois Richet</x:v>
      </x:c>
      <x:c r="P836" t="str">
        <x:v>La Petite Reine</x:v>
      </x:c>
      <x:c r="Q836" t="str">
        <x:v>France</x:v>
      </x:c>
      <x:c r="R836" t="str">
        <x:v>French</x:v>
      </x:c>
      <x:c r="S836" t="n">
        <x:v>15</x:v>
      </x:c>
      <x:c r="T836"/>
      <x:c r="U836"/>
      <x:c r="V836" t="n">
        <x:v>0</x:v>
      </x:c>
      <x:c r="W836" t="n">
        <x:v>0</x:v>
      </x:c>
    </x:row>
    <x:row r="837">
      <x:c r="J837" t="n">
        <x:v>1307</x:v>
      </x:c>
      <x:c r="K837" t="str">
        <x:v>Mesrine Part 2: Public Enemy Number 1</x:v>
      </x:c>
      <x:c r="L837" t="n">
        <x:v>39771</x:v>
      </x:c>
      <x:c r="M837" t="n">
        <x:v>133</x:v>
      </x:c>
      <x:c r="N837" t="str">
        <x:v>Crime</x:v>
      </x:c>
      <x:c r="O837" t="str">
        <x:v>Jean-Francois Richet</x:v>
      </x:c>
      <x:c r="P837" t="str">
        <x:v>La Petite Reine</x:v>
      </x:c>
      <x:c r="Q837" t="str">
        <x:v>France</x:v>
      </x:c>
      <x:c r="R837" t="str">
        <x:v>French</x:v>
      </x:c>
      <x:c r="S837" t="n">
        <x:v>15</x:v>
      </x:c>
      <x:c r="T837"/>
      <x:c r="U837"/>
      <x:c r="V837" t="n">
        <x:v>0</x:v>
      </x:c>
      <x:c r="W837" t="n">
        <x:v>0</x:v>
      </x:c>
    </x:row>
    <x:row r="838">
      <x:c r="J838" t="n">
        <x:v>1308</x:v>
      </x:c>
      <x:c r="K838" t="str">
        <x:v>Assault on Precinct 13</x:v>
      </x:c>
      <x:c r="L838" t="n">
        <x:v>38371</x:v>
      </x:c>
      <x:c r="M838" t="n">
        <x:v>109</x:v>
      </x:c>
      <x:c r="N838" t="str">
        <x:v>Thriller</x:v>
      </x:c>
      <x:c r="O838" t="str">
        <x:v>Jean-Francois Richet</x:v>
      </x:c>
      <x:c r="P838" t="str">
        <x:v>Rogue Pictures</x:v>
      </x:c>
      <x:c r="Q838" t="str">
        <x:v>United States</x:v>
      </x:c>
      <x:c r="R838" t="str">
        <x:v>English</x:v>
      </x:c>
      <x:c r="S838" t="n">
        <x:v>15</x:v>
      </x:c>
      <x:c r="T838" t="n">
        <x:v>30000000</x:v>
      </x:c>
      <x:c r="U838" t="n">
        <x:v>35300000</x:v>
      </x:c>
      <x:c r="V838" t="n">
        <x:v>0</x:v>
      </x:c>
      <x:c r="W838" t="n">
        <x:v>0</x:v>
      </x:c>
    </x:row>
    <x:row r="839">
      <x:c r="J839" t="n">
        <x:v>1309</x:v>
      </x:c>
      <x:c r="K839" t="str">
        <x:v>A Prophet</x:v>
      </x:c>
      <x:c r="L839" t="n">
        <x:v>39949</x:v>
      </x:c>
      <x:c r="M839" t="n">
        <x:v>155</x:v>
      </x:c>
      <x:c r="N839" t="str">
        <x:v>Crime</x:v>
      </x:c>
      <x:c r="O839" t="str">
        <x:v>Jacques Audiard</x:v>
      </x:c>
      <x:c r="P839" t="str">
        <x:v>Why Not Productions</x:v>
      </x:c>
      <x:c r="Q839" t="str">
        <x:v>France</x:v>
      </x:c>
      <x:c r="R839" t="str">
        <x:v>French</x:v>
      </x:c>
      <x:c r="S839" t="n">
        <x:v>18</x:v>
      </x:c>
      <x:c r="T839" t="n">
        <x:v>13000000</x:v>
      </x:c>
      <x:c r="U839" t="n">
        <x:v>17900000</x:v>
      </x:c>
      <x:c r="V839" t="n">
        <x:v>0</x:v>
      </x:c>
      <x:c r="W839" t="n">
        <x:v>0</x:v>
      </x:c>
    </x:row>
    <x:row r="840">
      <x:c r="J840" t="n">
        <x:v>1310</x:v>
      </x:c>
      <x:c r="K840" t="str">
        <x:v>Kung Fu Hustle</x:v>
      </x:c>
      <x:c r="L840" t="n">
        <x:v>38244</x:v>
      </x:c>
      <x:c r="M840" t="n">
        <x:v>98</x:v>
      </x:c>
      <x:c r="N840" t="str">
        <x:v>Martial Arts</x:v>
      </x:c>
      <x:c r="O840" t="str">
        <x:v>Stephen Chow</x:v>
      </x:c>
      <x:c r="P840" t="str">
        <x:v>China Film Group</x:v>
      </x:c>
      <x:c r="Q840" t="str">
        <x:v>Hong Kong</x:v>
      </x:c>
      <x:c r="R840" t="str">
        <x:v>Cantonese</x:v>
      </x:c>
      <x:c r="S840" t="n">
        <x:v>15</x:v>
      </x:c>
      <x:c r="T840" t="n">
        <x:v>20000000</x:v>
      </x:c>
      <x:c r="U840" t="n">
        <x:v>102000000</x:v>
      </x:c>
      <x:c r="V840" t="n">
        <x:v>0</x:v>
      </x:c>
      <x:c r="W840" t="n">
        <x:v>0</x:v>
      </x:c>
    </x:row>
    <x:row r="841">
      <x:c r="J841" t="n">
        <x:v>1311</x:v>
      </x:c>
      <x:c r="K841" t="str">
        <x:v>This Is England</x:v>
      </x:c>
      <x:c r="L841" t="n">
        <x:v>38972</x:v>
      </x:c>
      <x:c r="M841" t="n">
        <x:v>102</x:v>
      </x:c>
      <x:c r="N841" t="str">
        <x:v>Drama</x:v>
      </x:c>
      <x:c r="O841" t="str">
        <x:v>Shane Meadows</x:v>
      </x:c>
      <x:c r="P841" t="str">
        <x:v>FilmFour Productions</x:v>
      </x:c>
      <x:c r="Q841" t="str">
        <x:v>United Kingdom</x:v>
      </x:c>
      <x:c r="R841" t="str">
        <x:v>English</x:v>
      </x:c>
      <x:c r="S841" t="n">
        <x:v>18</x:v>
      </x:c>
      <x:c r="T841" t="n">
        <x:v>3000000</x:v>
      </x:c>
      <x:c r="U841" t="n">
        <x:v>10000000</x:v>
      </x:c>
      <x:c r="V841" t="n">
        <x:v>0</x:v>
      </x:c>
      <x:c r="W841" t="n">
        <x:v>0</x:v>
      </x:c>
    </x:row>
    <x:row r="842">
      <x:c r="J842" t="n">
        <x:v>1312</x:v>
      </x:c>
      <x:c r="K842" t="str">
        <x:v>A Room for Romeo Brass</x:v>
      </x:c>
      <x:c r="L842" t="n">
        <x:v>36395</x:v>
      </x:c>
      <x:c r="M842" t="n">
        <x:v>90</x:v>
      </x:c>
      <x:c r="N842" t="str">
        <x:v>Drama</x:v>
      </x:c>
      <x:c r="O842" t="str">
        <x:v>Shane Meadows</x:v>
      </x:c>
      <x:c r="P842" t="str">
        <x:v>BBC Films</x:v>
      </x:c>
      <x:c r="Q842" t="str">
        <x:v>United Kingdom</x:v>
      </x:c>
      <x:c r="R842" t="str">
        <x:v>English</x:v>
      </x:c>
      <x:c r="S842" t="n">
        <x:v>15</x:v>
      </x:c>
      <x:c r="T842"/>
      <x:c r="U842"/>
      <x:c r="V842" t="n">
        <x:v>0</x:v>
      </x:c>
      <x:c r="W842" t="n">
        <x:v>0</x:v>
      </x:c>
    </x:row>
    <x:row r="843">
      <x:c r="J843" t="n">
        <x:v>1313</x:v>
      </x:c>
      <x:c r="K843" t="str">
        <x:v>Once Upon a Time in the Midlands</x:v>
      </x:c>
      <x:c r="L843" t="n">
        <x:v>37505</x:v>
      </x:c>
      <x:c r="M843" t="n">
        <x:v>104</x:v>
      </x:c>
      <x:c r="N843" t="str">
        <x:v>Romantic Comedy</x:v>
      </x:c>
      <x:c r="O843" t="str">
        <x:v>Shane Meadows</x:v>
      </x:c>
      <x:c r="P843" t="str">
        <x:v>FilmFour Productions</x:v>
      </x:c>
      <x:c r="Q843" t="str">
        <x:v>United Kingdom</x:v>
      </x:c>
      <x:c r="R843" t="str">
        <x:v>English</x:v>
      </x:c>
      <x:c r="S843" t="n">
        <x:v>15</x:v>
      </x:c>
      <x:c r="T843"/>
      <x:c r="U843"/>
      <x:c r="V843" t="n">
        <x:v>0</x:v>
      </x:c>
      <x:c r="W843" t="n">
        <x:v>0</x:v>
      </x:c>
    </x:row>
    <x:row r="844">
      <x:c r="J844" t="n">
        <x:v>1314</x:v>
      </x:c>
      <x:c r="K844" t="str">
        <x:v>Dead Man's Shoes</x:v>
      </x:c>
      <x:c r="L844" t="n">
        <x:v>38261</x:v>
      </x:c>
      <x:c r="M844" t="n">
        <x:v>90</x:v>
      </x:c>
      <x:c r="N844" t="str">
        <x:v>Thriller</x:v>
      </x:c>
      <x:c r="O844" t="str">
        <x:v>Shane Meadows</x:v>
      </x:c>
      <x:c r="P844" t="str">
        <x:v>FilmFour Productions</x:v>
      </x:c>
      <x:c r="Q844" t="str">
        <x:v>United Kingdom</x:v>
      </x:c>
      <x:c r="R844" t="str">
        <x:v>English</x:v>
      </x:c>
      <x:c r="S844" t="n">
        <x:v>18</x:v>
      </x:c>
      <x:c r="T844" t="n">
        <x:v>1000000</x:v>
      </x:c>
      <x:c r="U844"/>
      <x:c r="V844" t="n">
        <x:v>0</x:v>
      </x:c>
      <x:c r="W844" t="n">
        <x:v>0</x:v>
      </x:c>
    </x:row>
    <x:row r="845">
      <x:c r="J845" t="n">
        <x:v>1315</x:v>
      </x:c>
      <x:c r="K845" t="str">
        <x:v>The League of Gentlemen's Apocalypse</x:v>
      </x:c>
      <x:c r="L845" t="n">
        <x:v>38506</x:v>
      </x:c>
      <x:c r="M845" t="n">
        <x:v>92</x:v>
      </x:c>
      <x:c r="N845" t="str">
        <x:v>Comedy</x:v>
      </x:c>
      <x:c r="O845" t="str">
        <x:v>Steve Bendelack</x:v>
      </x:c>
      <x:c r="P845" t="str">
        <x:v>FilmFour Productions</x:v>
      </x:c>
      <x:c r="Q845" t="str">
        <x:v>United Kingdom</x:v>
      </x:c>
      <x:c r="R845" t="str">
        <x:v>English</x:v>
      </x:c>
      <x:c r="S845" t="n">
        <x:v>15</x:v>
      </x:c>
      <x:c r="T845" t="n">
        <x:v>6000000</x:v>
      </x:c>
      <x:c r="U845"/>
      <x:c r="V845" t="n">
        <x:v>0</x:v>
      </x:c>
      <x:c r="W845" t="n">
        <x:v>0</x:v>
      </x:c>
    </x:row>
    <x:row r="846">
      <x:c r="J846" t="n">
        <x:v>1316</x:v>
      </x:c>
      <x:c r="K846" t="str">
        <x:v>Down Terrace</x:v>
      </x:c>
      <x:c r="L846" t="n">
        <x:v>40077</x:v>
      </x:c>
      <x:c r="M846" t="n">
        <x:v>93</x:v>
      </x:c>
      <x:c r="N846" t="str">
        <x:v>Crime</x:v>
      </x:c>
      <x:c r="O846" t="str">
        <x:v>Ben Wheatley</x:v>
      </x:c>
      <x:c r="P846" t="str">
        <x:v>Baby Cow Productions</x:v>
      </x:c>
      <x:c r="Q846" t="str">
        <x:v>United Kingdom</x:v>
      </x:c>
      <x:c r="R846" t="str">
        <x:v>English</x:v>
      </x:c>
      <x:c r="S846" t="n">
        <x:v>15</x:v>
      </x:c>
      <x:c r="T846" t="n">
        <x:v>30000</x:v>
      </x:c>
      <x:c r="U846"/>
      <x:c r="V846" t="n">
        <x:v>0</x:v>
      </x:c>
      <x:c r="W846" t="n">
        <x:v>0</x:v>
      </x:c>
    </x:row>
    <x:row r="847">
      <x:c r="J847" t="n">
        <x:v>1317</x:v>
      </x:c>
      <x:c r="K847" t="str">
        <x:v>Kill List</x:v>
      </x:c>
      <x:c r="L847" t="n">
        <x:v>40614</x:v>
      </x:c>
      <x:c r="M847" t="n">
        <x:v>95</x:v>
      </x:c>
      <x:c r="N847" t="str">
        <x:v>Thriller</x:v>
      </x:c>
      <x:c r="O847" t="str">
        <x:v>Ben Wheatley</x:v>
      </x:c>
      <x:c r="P847" t="str">
        <x:v>FilmFour Productions</x:v>
      </x:c>
      <x:c r="Q847" t="str">
        <x:v>United Kingdom</x:v>
      </x:c>
      <x:c r="R847" t="str">
        <x:v>English</x:v>
      </x:c>
      <x:c r="S847" t="n">
        <x:v>18</x:v>
      </x:c>
      <x:c r="T847" t="n">
        <x:v>800000</x:v>
      </x:c>
      <x:c r="U847" t="n">
        <x:v>462206</x:v>
      </x:c>
      <x:c r="V847" t="n">
        <x:v>0</x:v>
      </x:c>
      <x:c r="W847" t="n">
        <x:v>0</x:v>
      </x:c>
    </x:row>
    <x:row r="848">
      <x:c r="J848" t="n">
        <x:v>1318</x:v>
      </x:c>
      <x:c r="K848" t="str">
        <x:v>Sightseers</x:v>
      </x:c>
      <x:c r="L848" t="n">
        <x:v>41052</x:v>
      </x:c>
      <x:c r="M848" t="n">
        <x:v>85</x:v>
      </x:c>
      <x:c r="N848" t="str">
        <x:v>Comedy</x:v>
      </x:c>
      <x:c r="O848" t="str">
        <x:v>Ben Wheatley</x:v>
      </x:c>
      <x:c r="P848" t="str">
        <x:v>FilmFour Productions</x:v>
      </x:c>
      <x:c r="Q848" t="str">
        <x:v>United Kingdom</x:v>
      </x:c>
      <x:c r="R848" t="str">
        <x:v>English</x:v>
      </x:c>
      <x:c r="S848" t="n">
        <x:v>15</x:v>
      </x:c>
      <x:c r="T848"/>
      <x:c r="U848" t="n">
        <x:v>2101166</x:v>
      </x:c>
      <x:c r="V848" t="n">
        <x:v>0</x:v>
      </x:c>
      <x:c r="W848" t="n">
        <x:v>0</x:v>
      </x:c>
    </x:row>
    <x:row r="849">
      <x:c r="J849" t="n">
        <x:v>1319</x:v>
      </x:c>
      <x:c r="K849" t="str">
        <x:v>A Field in England</x:v>
      </x:c>
      <x:c r="L849" t="n">
        <x:v>41460</x:v>
      </x:c>
      <x:c r="M849" t="n">
        <x:v>91</x:v>
      </x:c>
      <x:c r="N849" t="str">
        <x:v>Thriller</x:v>
      </x:c>
      <x:c r="O849" t="str">
        <x:v>Ben Wheatley</x:v>
      </x:c>
      <x:c r="P849" t="str">
        <x:v>FilmFour Productions</x:v>
      </x:c>
      <x:c r="Q849" t="str">
        <x:v>United Kingdom</x:v>
      </x:c>
      <x:c r="R849" t="str">
        <x:v>English</x:v>
      </x:c>
      <x:c r="S849" t="n">
        <x:v>15</x:v>
      </x:c>
      <x:c r="T849" t="n">
        <x:v>500000</x:v>
      </x:c>
      <x:c r="U849"/>
      <x:c r="V849" t="n">
        <x:v>0</x:v>
      </x:c>
      <x:c r="W849" t="n">
        <x:v>0</x:v>
      </x:c>
    </x:row>
    <x:row r="850">
      <x:c r="J850" t="n">
        <x:v>1320</x:v>
      </x:c>
      <x:c r="K850" t="str">
        <x:v>High-Rise</x:v>
      </x:c>
      <x:c r="L850" t="n">
        <x:v>42260</x:v>
      </x:c>
      <x:c r="M850" t="n">
        <x:v>119</x:v>
      </x:c>
      <x:c r="N850" t="str">
        <x:v>Science Fiction</x:v>
      </x:c>
      <x:c r="O850" t="str">
        <x:v>Ben Wheatley</x:v>
      </x:c>
      <x:c r="P850" t="str">
        <x:v>FilmFour Productions</x:v>
      </x:c>
      <x:c r="Q850" t="str">
        <x:v>United Kingdom</x:v>
      </x:c>
      <x:c r="R850" t="str">
        <x:v>English</x:v>
      </x:c>
      <x:c r="S850" t="n">
        <x:v>15</x:v>
      </x:c>
      <x:c r="T850" t="n">
        <x:v>8000000</x:v>
      </x:c>
      <x:c r="U850" t="n">
        <x:v>3900000</x:v>
      </x:c>
      <x:c r="V850" t="n">
        <x:v>0</x:v>
      </x:c>
      <x:c r="W850" t="n">
        <x:v>0</x:v>
      </x:c>
    </x:row>
    <x:row r="851">
      <x:c r="J851" t="n">
        <x:v>1321</x:v>
      </x:c>
      <x:c r="K851" t="str">
        <x:v>Free Fire</x:v>
      </x:c>
      <x:c r="L851" t="n">
        <x:v>42621</x:v>
      </x:c>
      <x:c r="M851" t="n">
        <x:v>90</x:v>
      </x:c>
      <x:c r="N851" t="str">
        <x:v>Comedy</x:v>
      </x:c>
      <x:c r="O851" t="str">
        <x:v>Ben Wheatley</x:v>
      </x:c>
      <x:c r="P851" t="str">
        <x:v>FilmFour Productions</x:v>
      </x:c>
      <x:c r="Q851" t="str">
        <x:v>United Kingdom</x:v>
      </x:c>
      <x:c r="R851" t="str">
        <x:v>English</x:v>
      </x:c>
      <x:c r="S851" t="str">
        <x:v>Unknown</x:v>
      </x:c>
      <x:c r="T851"/>
      <x:c r="U851"/>
      <x:c r="V851" t="n">
        <x:v>0</x:v>
      </x:c>
      <x:c r="W851" t="n">
        <x:v>0</x:v>
      </x:c>
    </x:row>
    <x:row r="852">
      <x:c r="J852" t="n">
        <x:v>1322</x:v>
      </x:c>
      <x:c r="K852" t="str">
        <x:v>Momentum</x:v>
      </x:c>
      <x:c r="L852" t="n">
        <x:v>42293</x:v>
      </x:c>
      <x:c r="M852" t="n">
        <x:v>96</x:v>
      </x:c>
      <x:c r="N852" t="str">
        <x:v>Thriller</x:v>
      </x:c>
      <x:c r="O852" t="str">
        <x:v>Stephen Campanelli</x:v>
      </x:c>
      <x:c r="P852" t="str">
        <x:v>Azari Media</x:v>
      </x:c>
      <x:c r="Q852" t="str">
        <x:v>South Africa</x:v>
      </x:c>
      <x:c r="R852" t="str">
        <x:v>English</x:v>
      </x:c>
      <x:c r="S852" t="n">
        <x:v>15</x:v>
      </x:c>
      <x:c r="T852" t="n">
        <x:v>20000000</x:v>
      </x:c>
      <x:c r="U852"/>
      <x:c r="V852" t="n">
        <x:v>0</x:v>
      </x:c>
      <x:c r="W852" t="n">
        <x:v>0</x:v>
      </x:c>
    </x:row>
    <x:row r="853">
      <x:c r="J853" t="n">
        <x:v>1323</x:v>
      </x:c>
      <x:c r="K853" t="str">
        <x:v>District 9</x:v>
      </x:c>
      <x:c r="L853" t="n">
        <x:v>40038</x:v>
      </x:c>
      <x:c r="M853" t="n">
        <x:v>112</x:v>
      </x:c>
      <x:c r="N853" t="str">
        <x:v>Science Fiction</x:v>
      </x:c>
      <x:c r="O853" t="str">
        <x:v>Neill Blomkamp</x:v>
      </x:c>
      <x:c r="P853" t="str">
        <x:v>WingNut Films</x:v>
      </x:c>
      <x:c r="Q853" t="str">
        <x:v>South Africa</x:v>
      </x:c>
      <x:c r="R853" t="str">
        <x:v>English</x:v>
      </x:c>
      <x:c r="S853" t="n">
        <x:v>15</x:v>
      </x:c>
      <x:c r="T853" t="n">
        <x:v>30000000</x:v>
      </x:c>
      <x:c r="U853" t="n">
        <x:v>210800000</x:v>
      </x:c>
      <x:c r="V853" t="n">
        <x:v>4</x:v>
      </x:c>
      <x:c r="W853" t="n">
        <x:v>0</x:v>
      </x:c>
    </x:row>
    <x:row r="854">
      <x:c r="J854" t="n">
        <x:v>1324</x:v>
      </x:c>
      <x:c r="K854" t="str">
        <x:v>Elysium</x:v>
      </x:c>
      <x:c r="L854" t="n">
        <x:v>41493</x:v>
      </x:c>
      <x:c r="M854" t="n">
        <x:v>109</x:v>
      </x:c>
      <x:c r="N854" t="str">
        <x:v>Science Fiction</x:v>
      </x:c>
      <x:c r="O854" t="str">
        <x:v>Neill Blomkamp</x:v>
      </x:c>
      <x:c r="P854" t="str">
        <x:v>TriStar Pictures</x:v>
      </x:c>
      <x:c r="Q854" t="str">
        <x:v>United States</x:v>
      </x:c>
      <x:c r="R854" t="str">
        <x:v>English</x:v>
      </x:c>
      <x:c r="S854" t="n">
        <x:v>15</x:v>
      </x:c>
      <x:c r="T854" t="n">
        <x:v>115000000</x:v>
      </x:c>
      <x:c r="U854" t="n">
        <x:v>286100000</x:v>
      </x:c>
      <x:c r="V854" t="n">
        <x:v>0</x:v>
      </x:c>
      <x:c r="W854" t="n">
        <x:v>0</x:v>
      </x:c>
    </x:row>
    <x:row r="855">
      <x:c r="J855" t="n">
        <x:v>1325</x:v>
      </x:c>
      <x:c r="K855" t="str">
        <x:v>Chappie</x:v>
      </x:c>
      <x:c r="L855" t="n">
        <x:v>42067</x:v>
      </x:c>
      <x:c r="M855" t="n">
        <x:v>120</x:v>
      </x:c>
      <x:c r="N855" t="str">
        <x:v>Science Fiction</x:v>
      </x:c>
      <x:c r="O855" t="str">
        <x:v>Neill Blomkamp</x:v>
      </x:c>
      <x:c r="P855" t="str">
        <x:v>Columbia Pictures</x:v>
      </x:c>
      <x:c r="Q855" t="str">
        <x:v>United States</x:v>
      </x:c>
      <x:c r="R855" t="str">
        <x:v>English</x:v>
      </x:c>
      <x:c r="S855" t="n">
        <x:v>15</x:v>
      </x:c>
      <x:c r="T855" t="n">
        <x:v>49000000</x:v>
      </x:c>
      <x:c r="U855" t="n">
        <x:v>102100000</x:v>
      </x:c>
      <x:c r="V855" t="n">
        <x:v>0</x:v>
      </x:c>
      <x:c r="W855" t="n">
        <x:v>0</x:v>
      </x:c>
    </x:row>
    <x:row r="856">
      <x:c r="J856" t="n">
        <x:v>1326</x:v>
      </x:c>
      <x:c r="K856" t="str">
        <x:v>Slumdog Millionaire</x:v>
      </x:c>
      <x:c r="L856" t="n">
        <x:v>39690</x:v>
      </x:c>
      <x:c r="M856" t="n">
        <x:v>120</x:v>
      </x:c>
      <x:c r="N856" t="str">
        <x:v>Drama</x:v>
      </x:c>
      <x:c r="O856" t="str">
        <x:v>Danny Boyle</x:v>
      </x:c>
      <x:c r="P856" t="str">
        <x:v>FilmFour Productions</x:v>
      </x:c>
      <x:c r="Q856" t="str">
        <x:v>United Kingdom</x:v>
      </x:c>
      <x:c r="R856" t="str">
        <x:v>English</x:v>
      </x:c>
      <x:c r="S856" t="n">
        <x:v>15</x:v>
      </x:c>
      <x:c r="T856" t="n">
        <x:v>15000000</x:v>
      </x:c>
      <x:c r="U856" t="n">
        <x:v>377900000</x:v>
      </x:c>
      <x:c r="V856" t="n">
        <x:v>10</x:v>
      </x:c>
      <x:c r="W856" t="n">
        <x:v>8</x:v>
      </x:c>
    </x:row>
    <x:row r="857">
      <x:c r="J857" t="n">
        <x:v>1327</x:v>
      </x:c>
      <x:c r="K857" t="str">
        <x:v>The Best Exotic Marigold Hotel</x:v>
      </x:c>
      <x:c r="L857" t="n">
        <x:v>40877</x:v>
      </x:c>
      <x:c r="M857" t="n">
        <x:v>124</x:v>
      </x:c>
      <x:c r="N857" t="str">
        <x:v>Comedy</x:v>
      </x:c>
      <x:c r="O857" t="str">
        <x:v>John Madden</x:v>
      </x:c>
      <x:c r="P857" t="str">
        <x:v>Blueprint Pictures</x:v>
      </x:c>
      <x:c r="Q857" t="str">
        <x:v>United Kingdom</x:v>
      </x:c>
      <x:c r="R857" t="str">
        <x:v>English</x:v>
      </x:c>
      <x:c r="S857" t="str">
        <x:v>12A</x:v>
      </x:c>
      <x:c r="T857" t="n">
        <x:v>10000000</x:v>
      </x:c>
      <x:c r="U857" t="n">
        <x:v>136800000</x:v>
      </x:c>
      <x:c r="V857" t="n">
        <x:v>0</x:v>
      </x:c>
      <x:c r="W857" t="n">
        <x:v>0</x:v>
      </x:c>
    </x:row>
    <x:row r="858">
      <x:c r="J858" t="n">
        <x:v>1328</x:v>
      </x:c>
      <x:c r="K858" t="str">
        <x:v>The Second Best Exotic Marigold Hotel</x:v>
      </x:c>
      <x:c r="L858" t="n">
        <x:v>42061</x:v>
      </x:c>
      <x:c r="M858" t="n">
        <x:v>122</x:v>
      </x:c>
      <x:c r="N858" t="str">
        <x:v>Comedy</x:v>
      </x:c>
      <x:c r="O858" t="str">
        <x:v>John Madden</x:v>
      </x:c>
      <x:c r="P858" t="str">
        <x:v>Blueprint Pictures</x:v>
      </x:c>
      <x:c r="Q858" t="str">
        <x:v>United Kingdom</x:v>
      </x:c>
      <x:c r="R858" t="str">
        <x:v>English</x:v>
      </x:c>
      <x:c r="S858" t="str">
        <x:v>PG</x:v>
      </x:c>
      <x:c r="T858" t="n">
        <x:v>10000000</x:v>
      </x:c>
      <x:c r="U858" t="n">
        <x:v>86000000</x:v>
      </x:c>
      <x:c r="V858" t="n">
        <x:v>0</x:v>
      </x:c>
      <x:c r="W858" t="n">
        <x:v>0</x:v>
      </x:c>
    </x:row>
    <x:row r="859">
      <x:c r="J859" t="n">
        <x:v>1329</x:v>
      </x:c>
      <x:c r="K859" t="str">
        <x:v>John Carter</x:v>
      </x:c>
      <x:c r="L859" t="n">
        <x:v>40975</x:v>
      </x:c>
      <x:c r="M859" t="n">
        <x:v>132</x:v>
      </x:c>
      <x:c r="N859" t="str">
        <x:v>Science Fiction</x:v>
      </x:c>
      <x:c r="O859" t="str">
        <x:v>Andrew Stanton</x:v>
      </x:c>
      <x:c r="P859" t="str">
        <x:v>Walt Disney Pictures</x:v>
      </x:c>
      <x:c r="Q859" t="str">
        <x:v>United States</x:v>
      </x:c>
      <x:c r="R859" t="str">
        <x:v>English</x:v>
      </x:c>
      <x:c r="S859" t="str">
        <x:v>12A</x:v>
      </x:c>
      <x:c r="T859" t="n">
        <x:v>350000000</x:v>
      </x:c>
      <x:c r="U859" t="n">
        <x:v>284100000</x:v>
      </x:c>
      <x:c r="V859" t="n">
        <x:v>0</x:v>
      </x:c>
      <x:c r="W859" t="n">
        <x:v>0</x:v>
      </x:c>
    </x:row>
    <x:row r="860">
      <x:c r="J860" t="n">
        <x:v>1330</x:v>
      </x:c>
      <x:c r="K860" t="str">
        <x:v>Ironclad</x:v>
      </x:c>
      <x:c r="L860" t="n">
        <x:v>40606</x:v>
      </x:c>
      <x:c r="M860" t="n">
        <x:v>121</x:v>
      </x:c>
      <x:c r="N860" t="str">
        <x:v>History</x:v>
      </x:c>
      <x:c r="O860" t="str">
        <x:v>Jonathan English</x:v>
      </x:c>
      <x:c r="P860" t="str">
        <x:v>Mythic International Entertainment</x:v>
      </x:c>
      <x:c r="Q860" t="str">
        <x:v>United Kingdom</x:v>
      </x:c>
      <x:c r="R860" t="str">
        <x:v>English</x:v>
      </x:c>
      <x:c r="S860" t="n">
        <x:v>15</x:v>
      </x:c>
      <x:c r="T860" t="n">
        <x:v>25000000</x:v>
      </x:c>
      <x:c r="U860"/>
      <x:c r="V860" t="n">
        <x:v>0</x:v>
      </x:c>
      <x:c r="W860" t="n">
        <x:v>0</x:v>
      </x:c>
    </x:row>
    <x:row r="861">
      <x:c r="J861" t="n">
        <x:v>1331</x:v>
      </x:c>
      <x:c r="K861" t="str">
        <x:v>Solomon Kane</x:v>
      </x:c>
      <x:c r="L861" t="n">
        <x:v>40170</x:v>
      </x:c>
      <x:c r="M861" t="n">
        <x:v>104</x:v>
      </x:c>
      <x:c r="N861" t="str">
        <x:v>Adventure</x:v>
      </x:c>
      <x:c r="O861" t="str">
        <x:v>Michael J. Bassett</x:v>
      </x:c>
      <x:c r="P861" t="str">
        <x:v>Davis Entertainment</x:v>
      </x:c>
      <x:c r="Q861" t="str">
        <x:v>France</x:v>
      </x:c>
      <x:c r="R861" t="str">
        <x:v>English</x:v>
      </x:c>
      <x:c r="S861" t="n">
        <x:v>15</x:v>
      </x:c>
      <x:c r="T861" t="n">
        <x:v>40000000</x:v>
      </x:c>
      <x:c r="U861" t="n">
        <x:v>19400000</x:v>
      </x:c>
      <x:c r="V861" t="n">
        <x:v>0</x:v>
      </x:c>
      <x:c r="W861" t="n">
        <x:v>0</x:v>
      </x:c>
    </x:row>
    <x:row r="862">
      <x:c r="J862" t="n">
        <x:v>1332</x:v>
      </x:c>
      <x:c r="K862" t="str">
        <x:v>A Knight's Tale</x:v>
      </x:c>
      <x:c r="L862" t="n">
        <x:v>37022</x:v>
      </x:c>
      <x:c r="M862" t="n">
        <x:v>132</x:v>
      </x:c>
      <x:c r="N862" t="str">
        <x:v>Adventure</x:v>
      </x:c>
      <x:c r="O862" t="str">
        <x:v>Brian Helgeland</x:v>
      </x:c>
      <x:c r="P862" t="str">
        <x:v>Columbia Pictures</x:v>
      </x:c>
      <x:c r="Q862" t="str">
        <x:v>United States</x:v>
      </x:c>
      <x:c r="R862" t="str">
        <x:v>English</x:v>
      </x:c>
      <x:c r="S862" t="str">
        <x:v>PG</x:v>
      </x:c>
      <x:c r="T862" t="n">
        <x:v>65000000</x:v>
      </x:c>
      <x:c r="U862" t="n">
        <x:v>117500000</x:v>
      </x:c>
      <x:c r="V862" t="n">
        <x:v>0</x:v>
      </x:c>
      <x:c r="W862" t="n">
        <x:v>0</x:v>
      </x:c>
    </x:row>
    <x:row r="863">
      <x:c r="J863" t="n">
        <x:v>1333</x:v>
      </x:c>
      <x:c r="K863" t="str">
        <x:v>Shallow Grave</x:v>
      </x:c>
      <x:c r="L863" t="n">
        <x:v>34471</x:v>
      </x:c>
      <x:c r="M863" t="n">
        <x:v>92</x:v>
      </x:c>
      <x:c r="N863" t="str">
        <x:v>Crime</x:v>
      </x:c>
      <x:c r="O863" t="str">
        <x:v>Danny Boyle</x:v>
      </x:c>
      <x:c r="P863" t="str">
        <x:v>FilmFour Productions</x:v>
      </x:c>
      <x:c r="Q863" t="str">
        <x:v>United Kingdom</x:v>
      </x:c>
      <x:c r="R863" t="str">
        <x:v>English</x:v>
      </x:c>
      <x:c r="S863" t="n">
        <x:v>18</x:v>
      </x:c>
      <x:c r="T863" t="n">
        <x:v>2500000</x:v>
      </x:c>
      <x:c r="U863" t="n">
        <x:v>19800000</x:v>
      </x:c>
      <x:c r="V863" t="n">
        <x:v>0</x:v>
      </x:c>
      <x:c r="W863" t="n">
        <x:v>0</x:v>
      </x:c>
    </x:row>
    <x:row r="864">
      <x:c r="J864" t="n">
        <x:v>1334</x:v>
      </x:c>
      <x:c r="K864" t="str">
        <x:v>A Life Less Ordinary</x:v>
      </x:c>
      <x:c r="L864" t="n">
        <x:v>35727</x:v>
      </x:c>
      <x:c r="M864" t="n">
        <x:v>103</x:v>
      </x:c>
      <x:c r="N864" t="str">
        <x:v>Comedy</x:v>
      </x:c>
      <x:c r="O864" t="str">
        <x:v>Danny Boyle</x:v>
      </x:c>
      <x:c r="P864" t="str">
        <x:v>Channel Four Films</x:v>
      </x:c>
      <x:c r="Q864" t="str">
        <x:v>United Kingdom</x:v>
      </x:c>
      <x:c r="R864" t="str">
        <x:v>English</x:v>
      </x:c>
      <x:c r="S864" t="n">
        <x:v>15</x:v>
      </x:c>
      <x:c r="T864" t="n">
        <x:v>12000000</x:v>
      </x:c>
      <x:c r="U864" t="n">
        <x:v>4366722</x:v>
      </x:c>
      <x:c r="V864" t="n">
        <x:v>0</x:v>
      </x:c>
      <x:c r="W864" t="n">
        <x:v>0</x:v>
      </x:c>
    </x:row>
    <x:row r="865">
      <x:c r="J865" t="n">
        <x:v>1335</x:v>
      </x:c>
      <x:c r="K865" t="str">
        <x:v>28 Weeks Later</x:v>
      </x:c>
      <x:c r="L865" t="n">
        <x:v>39198</x:v>
      </x:c>
      <x:c r="M865" t="n">
        <x:v>100</x:v>
      </x:c>
      <x:c r="N865" t="str">
        <x:v>Horror</x:v>
      </x:c>
      <x:c r="O865" t="str">
        <x:v>Juan Carlos Fresnadillo</x:v>
      </x:c>
      <x:c r="P865" t="str">
        <x:v>DNA Films</x:v>
      </x:c>
      <x:c r="Q865" t="str">
        <x:v>United Kingdom</x:v>
      </x:c>
      <x:c r="R865" t="str">
        <x:v>English</x:v>
      </x:c>
      <x:c r="S865" t="n">
        <x:v>18</x:v>
      </x:c>
      <x:c r="T865" t="n">
        <x:v>15000000</x:v>
      </x:c>
      <x:c r="U865" t="n">
        <x:v>64200000</x:v>
      </x:c>
      <x:c r="V865" t="n">
        <x:v>0</x:v>
      </x:c>
      <x:c r="W865" t="n">
        <x:v>0</x:v>
      </x:c>
    </x:row>
    <x:row r="866">
      <x:c r="J866" t="n">
        <x:v>1336</x:v>
      </x:c>
      <x:c r="K866" t="str">
        <x:v>127 Hours</x:v>
      </x:c>
      <x:c r="L866" t="n">
        <x:v>40425</x:v>
      </x:c>
      <x:c r="M866" t="n">
        <x:v>93</x:v>
      </x:c>
      <x:c r="N866" t="str">
        <x:v>Biography</x:v>
      </x:c>
      <x:c r="O866" t="str">
        <x:v>Danny Boyle</x:v>
      </x:c>
      <x:c r="P866" t="str">
        <x:v>FilmFour Productions</x:v>
      </x:c>
      <x:c r="Q866" t="str">
        <x:v>United Kingdom</x:v>
      </x:c>
      <x:c r="R866" t="str">
        <x:v>English</x:v>
      </x:c>
      <x:c r="S866" t="n">
        <x:v>15</x:v>
      </x:c>
      <x:c r="T866" t="n">
        <x:v>18000000</x:v>
      </x:c>
      <x:c r="U866" t="n">
        <x:v>60700000</x:v>
      </x:c>
      <x:c r="V866" t="n">
        <x:v>6</x:v>
      </x:c>
      <x:c r="W866" t="n">
        <x:v>0</x:v>
      </x:c>
    </x:row>
    <x:row r="867">
      <x:c r="J867" t="n">
        <x:v>1337</x:v>
      </x:c>
      <x:c r="K867" t="str">
        <x:v>Trance</x:v>
      </x:c>
      <x:c r="L867" t="n">
        <x:v>41352</x:v>
      </x:c>
      <x:c r="M867" t="n">
        <x:v>101</x:v>
      </x:c>
      <x:c r="N867" t="str">
        <x:v>Crime</x:v>
      </x:c>
      <x:c r="O867" t="str">
        <x:v>Danny Boyle</x:v>
      </x:c>
      <x:c r="P867" t="str">
        <x:v>Pathe</x:v>
      </x:c>
      <x:c r="Q867" t="str">
        <x:v>United Kingdom</x:v>
      </x:c>
      <x:c r="R867" t="str">
        <x:v>English</x:v>
      </x:c>
      <x:c r="S867" t="n">
        <x:v>15</x:v>
      </x:c>
      <x:c r="T867" t="n">
        <x:v>20000000</x:v>
      </x:c>
      <x:c r="U867" t="n">
        <x:v>24300000</x:v>
      </x:c>
      <x:c r="V867" t="n">
        <x:v>0</x:v>
      </x:c>
      <x:c r="W867" t="n">
        <x:v>0</x:v>
      </x:c>
    </x:row>
    <x:row r="868">
      <x:c r="J868" t="n">
        <x:v>1338</x:v>
      </x:c>
      <x:c r="K868" t="str">
        <x:v>Steve Jobs</x:v>
      </x:c>
      <x:c r="L868" t="n">
        <x:v>42252</x:v>
      </x:c>
      <x:c r="M868" t="n">
        <x:v>122</x:v>
      </x:c>
      <x:c r="N868" t="str">
        <x:v>Biography</x:v>
      </x:c>
      <x:c r="O868" t="str">
        <x:v>Danny Boyle</x:v>
      </x:c>
      <x:c r="P868" t="str">
        <x:v>Legendary Pictures</x:v>
      </x:c>
      <x:c r="Q868" t="str">
        <x:v>United States</x:v>
      </x:c>
      <x:c r="R868" t="str">
        <x:v>English</x:v>
      </x:c>
      <x:c r="S868" t="n">
        <x:v>15</x:v>
      </x:c>
      <x:c r="T868" t="n">
        <x:v>30000000</x:v>
      </x:c>
      <x:c r="U868" t="n">
        <x:v>34400000</x:v>
      </x:c>
      <x:c r="V868" t="n">
        <x:v>2</x:v>
      </x:c>
      <x:c r="W868" t="n">
        <x:v>0</x:v>
      </x:c>
    </x:row>
    <x:row r="869">
      <x:c r="J869" t="n">
        <x:v>1339</x:v>
      </x:c>
      <x:c r="K869" t="str">
        <x:v>Life of Pi</x:v>
      </x:c>
      <x:c r="L869" t="n">
        <x:v>41180</x:v>
      </x:c>
      <x:c r="M869" t="n">
        <x:v>127</x:v>
      </x:c>
      <x:c r="N869" t="str">
        <x:v>Adventure</x:v>
      </x:c>
      <x:c r="O869" t="str">
        <x:v>Ang Lee</x:v>
      </x:c>
      <x:c r="P869" t="str">
        <x:v>Fox 2000 Pictures</x:v>
      </x:c>
      <x:c r="Q869" t="str">
        <x:v>United States</x:v>
      </x:c>
      <x:c r="R869" t="str">
        <x:v>English</x:v>
      </x:c>
      <x:c r="S869" t="str">
        <x:v>PG</x:v>
      </x:c>
      <x:c r="T869" t="n">
        <x:v>120000000</x:v>
      </x:c>
      <x:c r="U869" t="n">
        <x:v>609000000</x:v>
      </x:c>
      <x:c r="V869" t="n">
        <x:v>11</x:v>
      </x:c>
      <x:c r="W869" t="n">
        <x:v>4</x:v>
      </x:c>
    </x:row>
    <x:row r="870">
      <x:c r="J870" t="n">
        <x:v>1340</x:v>
      </x:c>
      <x:c r="K870" t="str">
        <x:v>Terminator Genisys</x:v>
      </x:c>
      <x:c r="L870" t="n">
        <x:v>42177</x:v>
      </x:c>
      <x:c r="M870" t="n">
        <x:v>126</x:v>
      </x:c>
      <x:c r="N870" t="str">
        <x:v>Science Fiction</x:v>
      </x:c>
      <x:c r="O870" t="str">
        <x:v>Alan Taylor</x:v>
      </x:c>
      <x:c r="P870" t="str">
        <x:v>Paramount Pictures</x:v>
      </x:c>
      <x:c r="Q870" t="str">
        <x:v>United States</x:v>
      </x:c>
      <x:c r="R870" t="str">
        <x:v>English</x:v>
      </x:c>
      <x:c r="S870" t="str">
        <x:v>12A</x:v>
      </x:c>
      <x:c r="T870" t="n">
        <x:v>155000000</x:v>
      </x:c>
      <x:c r="U870" t="n">
        <x:v>440600000</x:v>
      </x:c>
      <x:c r="V870" t="n">
        <x:v>0</x:v>
      </x:c>
      <x:c r="W870" t="n">
        <x:v>0</x:v>
      </x:c>
    </x:row>
    <x:row r="871">
      <x:c r="J871" t="n">
        <x:v>1341</x:v>
      </x:c>
      <x:c r="K871" t="str">
        <x:v>Maggie</x:v>
      </x:c>
      <x:c r="L871" t="n">
        <x:v>42116</x:v>
      </x:c>
      <x:c r="M871" t="n">
        <x:v>95</x:v>
      </x:c>
      <x:c r="N871" t="str">
        <x:v>Horror</x:v>
      </x:c>
      <x:c r="O871" t="str">
        <x:v>Henry Hobson</x:v>
      </x:c>
      <x:c r="P871" t="str">
        <x:v>Lionsgate</x:v>
      </x:c>
      <x:c r="Q871" t="str">
        <x:v>United States</x:v>
      </x:c>
      <x:c r="R871" t="str">
        <x:v>English</x:v>
      </x:c>
      <x:c r="S871" t="n">
        <x:v>15</x:v>
      </x:c>
      <x:c r="T871" t="n">
        <x:v>4500000</x:v>
      </x:c>
      <x:c r="U871" t="n">
        <x:v>1400000</x:v>
      </x:c>
      <x:c r="V871" t="n">
        <x:v>0</x:v>
      </x:c>
      <x:c r="W871" t="n">
        <x:v>0</x:v>
      </x:c>
    </x:row>
    <x:row r="872">
      <x:c r="J872" t="n">
        <x:v>1342</x:v>
      </x:c>
      <x:c r="K872" t="str">
        <x:v>Sabotage</x:v>
      </x:c>
      <x:c r="L872" t="n">
        <x:v>41717</x:v>
      </x:c>
      <x:c r="M872" t="n">
        <x:v>109</x:v>
      </x:c>
      <x:c r="N872" t="str">
        <x:v>Crime</x:v>
      </x:c>
      <x:c r="O872" t="str">
        <x:v>David Ayer</x:v>
      </x:c>
      <x:c r="P872" t="str">
        <x:v>Open Road Films</x:v>
      </x:c>
      <x:c r="Q872" t="str">
        <x:v>United States</x:v>
      </x:c>
      <x:c r="R872" t="str">
        <x:v>English</x:v>
      </x:c>
      <x:c r="S872" t="n">
        <x:v>15</x:v>
      </x:c>
      <x:c r="T872" t="n">
        <x:v>35000000</x:v>
      </x:c>
      <x:c r="U872" t="n">
        <x:v>18400000</x:v>
      </x:c>
      <x:c r="V872" t="n">
        <x:v>0</x:v>
      </x:c>
      <x:c r="W872" t="n">
        <x:v>0</x:v>
      </x:c>
    </x:row>
    <x:row r="873">
      <x:c r="J873" t="n">
        <x:v>1343</x:v>
      </x:c>
      <x:c r="K873" t="str">
        <x:v>Escape Plan</x:v>
      </x:c>
      <x:c r="L873" t="n">
        <x:v>41556</x:v>
      </x:c>
      <x:c r="M873" t="n">
        <x:v>115</x:v>
      </x:c>
      <x:c r="N873" t="str">
        <x:v>Action</x:v>
      </x:c>
      <x:c r="O873" t="str">
        <x:v>Mikael Hafstrom</x:v>
      </x:c>
      <x:c r="P873" t="str">
        <x:v>Summit Entertainment</x:v>
      </x:c>
      <x:c r="Q873" t="str">
        <x:v>United States</x:v>
      </x:c>
      <x:c r="R873" t="str">
        <x:v>English</x:v>
      </x:c>
      <x:c r="S873" t="n">
        <x:v>15</x:v>
      </x:c>
      <x:c r="T873" t="n">
        <x:v>50000000</x:v>
      </x:c>
      <x:c r="U873" t="n">
        <x:v>137300000</x:v>
      </x:c>
      <x:c r="V873" t="n">
        <x:v>0</x:v>
      </x:c>
      <x:c r="W873" t="n">
        <x:v>0</x:v>
      </x:c>
    </x:row>
    <x:row r="874">
      <x:c r="J874" t="n">
        <x:v>1344</x:v>
      </x:c>
      <x:c r="K874" t="str">
        <x:v>The Last Stand</x:v>
      </x:c>
      <x:c r="L874" t="n">
        <x:v>41292</x:v>
      </x:c>
      <x:c r="M874" t="n">
        <x:v>107</x:v>
      </x:c>
      <x:c r="N874" t="str">
        <x:v>Action</x:v>
      </x:c>
      <x:c r="O874" t="str">
        <x:v>Kim Jee-woon</x:v>
      </x:c>
      <x:c r="P874" t="str">
        <x:v>di Bonaventura Pictures</x:v>
      </x:c>
      <x:c r="Q874" t="str">
        <x:v>United States</x:v>
      </x:c>
      <x:c r="R874" t="str">
        <x:v>English</x:v>
      </x:c>
      <x:c r="S874" t="n">
        <x:v>15</x:v>
      </x:c>
      <x:c r="T874" t="n">
        <x:v>45000000</x:v>
      </x:c>
      <x:c r="U874" t="n">
        <x:v>48300000</x:v>
      </x:c>
      <x:c r="V874" t="n">
        <x:v>0</x:v>
      </x:c>
      <x:c r="W874" t="n">
        <x:v>0</x:v>
      </x:c>
    </x:row>
    <x:row r="875">
      <x:c r="J875" t="n">
        <x:v>1345</x:v>
      </x:c>
      <x:c r="K875" t="str">
        <x:v>Terminator Salvation</x:v>
      </x:c>
      <x:c r="L875" t="n">
        <x:v>39954</x:v>
      </x:c>
      <x:c r="M875" t="n">
        <x:v>115</x:v>
      </x:c>
      <x:c r="N875" t="str">
        <x:v>Science Fiction</x:v>
      </x:c>
      <x:c r="O875" t="str">
        <x:v>McG</x:v>
      </x:c>
      <x:c r="P875" t="str">
        <x:v>Columbia Pictures</x:v>
      </x:c>
      <x:c r="Q875" t="str">
        <x:v>United States</x:v>
      </x:c>
      <x:c r="R875" t="str">
        <x:v>English</x:v>
      </x:c>
      <x:c r="S875" t="str">
        <x:v>12A</x:v>
      </x:c>
      <x:c r="T875" t="n">
        <x:v>200000000</x:v>
      </x:c>
      <x:c r="U875" t="n">
        <x:v>371400000</x:v>
      </x:c>
      <x:c r="V875" t="n">
        <x:v>0</x:v>
      </x:c>
      <x:c r="W875" t="n">
        <x:v>0</x:v>
      </x:c>
    </x:row>
    <x:row r="876">
      <x:c r="J876" t="n">
        <x:v>1346</x:v>
      </x:c>
      <x:c r="K876" t="str">
        <x:v>Collateral Damage</x:v>
      </x:c>
      <x:c r="L876" t="n">
        <x:v>37291</x:v>
      </x:c>
      <x:c r="M876" t="n">
        <x:v>108</x:v>
      </x:c>
      <x:c r="N876" t="str">
        <x:v>Action</x:v>
      </x:c>
      <x:c r="O876" t="str">
        <x:v>Andrew Davis</x:v>
      </x:c>
      <x:c r="P876" t="str">
        <x:v>Warner Bros. Pictures</x:v>
      </x:c>
      <x:c r="Q876" t="str">
        <x:v>United States</x:v>
      </x:c>
      <x:c r="R876" t="str">
        <x:v>English</x:v>
      </x:c>
      <x:c r="S876" t="n">
        <x:v>15</x:v>
      </x:c>
      <x:c r="T876" t="n">
        <x:v>85000000</x:v>
      </x:c>
      <x:c r="U876" t="n">
        <x:v>78300000</x:v>
      </x:c>
      <x:c r="V876" t="n">
        <x:v>0</x:v>
      </x:c>
      <x:c r="W876" t="n">
        <x:v>0</x:v>
      </x:c>
    </x:row>
    <x:row r="877">
      <x:c r="J877" t="n">
        <x:v>1347</x:v>
      </x:c>
      <x:c r="K877" t="str">
        <x:v>The 6th Day</x:v>
      </x:c>
      <x:c r="L877" t="n">
        <x:v>36827</x:v>
      </x:c>
      <x:c r="M877" t="n">
        <x:v>124</x:v>
      </x:c>
      <x:c r="N877" t="str">
        <x:v>Science Fiction</x:v>
      </x:c>
      <x:c r="O877" t="str">
        <x:v>Roger Spottiswoode</x:v>
      </x:c>
      <x:c r="P877" t="str">
        <x:v>Columbia Pictures</x:v>
      </x:c>
      <x:c r="Q877" t="str">
        <x:v>United States</x:v>
      </x:c>
      <x:c r="R877" t="str">
        <x:v>English</x:v>
      </x:c>
      <x:c r="S877" t="n">
        <x:v>15</x:v>
      </x:c>
      <x:c r="T877" t="n">
        <x:v>82000000</x:v>
      </x:c>
      <x:c r="U877" t="n">
        <x:v>96100000</x:v>
      </x:c>
      <x:c r="V877" t="n">
        <x:v>0</x:v>
      </x:c>
      <x:c r="W877" t="n">
        <x:v>0</x:v>
      </x:c>
    </x:row>
    <x:row r="878">
      <x:c r="J878" t="n">
        <x:v>1348</x:v>
      </x:c>
      <x:c r="K878" t="str">
        <x:v>End of Days</x:v>
      </x:c>
      <x:c r="L878" t="n">
        <x:v>36480</x:v>
      </x:c>
      <x:c r="M878" t="n">
        <x:v>123</x:v>
      </x:c>
      <x:c r="N878" t="str">
        <x:v>Horror</x:v>
      </x:c>
      <x:c r="O878" t="str">
        <x:v>Peter Hyams</x:v>
      </x:c>
      <x:c r="P878" t="str">
        <x:v>Beacon Pictures</x:v>
      </x:c>
      <x:c r="Q878" t="str">
        <x:v>United States</x:v>
      </x:c>
      <x:c r="R878" t="str">
        <x:v>English</x:v>
      </x:c>
      <x:c r="S878" t="n">
        <x:v>18</x:v>
      </x:c>
      <x:c r="T878" t="n">
        <x:v>100000000</x:v>
      </x:c>
      <x:c r="U878" t="n">
        <x:v>212000000</x:v>
      </x:c>
      <x:c r="V878" t="n">
        <x:v>0</x:v>
      </x:c>
      <x:c r="W878" t="n">
        <x:v>0</x:v>
      </x:c>
    </x:row>
    <x:row r="879">
      <x:c r="J879" t="n">
        <x:v>1349</x:v>
      </x:c>
      <x:c r="K879" t="str">
        <x:v>Batman &amp; Robin</x:v>
      </x:c>
      <x:c r="L879" t="n">
        <x:v>35601</x:v>
      </x:c>
      <x:c r="M879" t="n">
        <x:v>125</x:v>
      </x:c>
      <x:c r="N879" t="str">
        <x:v>Action</x:v>
      </x:c>
      <x:c r="O879" t="str">
        <x:v>Joel Schumacher</x:v>
      </x:c>
      <x:c r="P879" t="str">
        <x:v>Polygram Filmed Entertainment</x:v>
      </x:c>
      <x:c r="Q879" t="str">
        <x:v>United States</x:v>
      </x:c>
      <x:c r="R879" t="str">
        <x:v>English</x:v>
      </x:c>
      <x:c r="S879" t="str">
        <x:v>PG</x:v>
      </x:c>
      <x:c r="T879" t="n">
        <x:v>140000000</x:v>
      </x:c>
      <x:c r="U879" t="n">
        <x:v>238200000</x:v>
      </x:c>
      <x:c r="V879" t="n">
        <x:v>0</x:v>
      </x:c>
      <x:c r="W879" t="n">
        <x:v>0</x:v>
      </x:c>
    </x:row>
    <x:row r="880">
      <x:c r="J880" t="n">
        <x:v>1350</x:v>
      </x:c>
      <x:c r="K880" t="str">
        <x:v>Jingle All the Way</x:v>
      </x:c>
      <x:c r="L880" t="n">
        <x:v>35385</x:v>
      </x:c>
      <x:c r="M880" t="n">
        <x:v>89</x:v>
      </x:c>
      <x:c r="N880" t="str">
        <x:v>Family</x:v>
      </x:c>
      <x:c r="O880" t="str">
        <x:v>Brian Levant</x:v>
      </x:c>
      <x:c r="P880" t="str">
        <x:v>20th Century Fox</x:v>
      </x:c>
      <x:c r="Q880" t="str">
        <x:v>United States</x:v>
      </x:c>
      <x:c r="R880" t="str">
        <x:v>English</x:v>
      </x:c>
      <x:c r="S880" t="str">
        <x:v>PG</x:v>
      </x:c>
      <x:c r="T880" t="n">
        <x:v>75000000</x:v>
      </x:c>
      <x:c r="U880" t="n">
        <x:v>129800000</x:v>
      </x:c>
      <x:c r="V880" t="n">
        <x:v>0</x:v>
      </x:c>
      <x:c r="W880" t="n">
        <x:v>0</x:v>
      </x:c>
    </x:row>
    <x:row r="881">
      <x:c r="J881" t="n">
        <x:v>1351</x:v>
      </x:c>
      <x:c r="K881" t="str">
        <x:v>Junior</x:v>
      </x:c>
      <x:c r="L881" t="n">
        <x:v>34661</x:v>
      </x:c>
      <x:c r="M881" t="n">
        <x:v>109</x:v>
      </x:c>
      <x:c r="N881" t="str">
        <x:v>Comedy</x:v>
      </x:c>
      <x:c r="O881" t="str">
        <x:v>Ivan Reitman</x:v>
      </x:c>
      <x:c r="P881" t="str">
        <x:v>Universal Pictures</x:v>
      </x:c>
      <x:c r="Q881" t="str">
        <x:v>United States</x:v>
      </x:c>
      <x:c r="R881" t="str">
        <x:v>English</x:v>
      </x:c>
      <x:c r="S881" t="str">
        <x:v>PG</x:v>
      </x:c>
      <x:c r="T881" t="n">
        <x:v>60000000</x:v>
      </x:c>
      <x:c r="U881" t="n">
        <x:v>108400000</x:v>
      </x:c>
      <x:c r="V881" t="n">
        <x:v>1</x:v>
      </x:c>
      <x:c r="W881" t="n">
        <x:v>0</x:v>
      </x:c>
    </x:row>
    <x:row r="882">
      <x:c r="J882" t="n">
        <x:v>1352</x:v>
      </x:c>
      <x:c r="K882" t="str">
        <x:v>Total Recall</x:v>
      </x:c>
      <x:c r="L882" t="n">
        <x:v>41124</x:v>
      </x:c>
      <x:c r="M882" t="n">
        <x:v>118</x:v>
      </x:c>
      <x:c r="N882" t="str">
        <x:v>Science Fiction</x:v>
      </x:c>
      <x:c r="O882" t="str">
        <x:v>Len Wiseman</x:v>
      </x:c>
      <x:c r="P882" t="str">
        <x:v>Relativity Media</x:v>
      </x:c>
      <x:c r="Q882" t="str">
        <x:v>United States</x:v>
      </x:c>
      <x:c r="R882" t="str">
        <x:v>English</x:v>
      </x:c>
      <x:c r="S882" t="str">
        <x:v>12A</x:v>
      </x:c>
      <x:c r="T882" t="n">
        <x:v>125000000</x:v>
      </x:c>
      <x:c r="U882" t="n">
        <x:v>198500000</x:v>
      </x:c>
      <x:c r="V882" t="n">
        <x:v>0</x:v>
      </x:c>
      <x:c r="W882" t="n">
        <x:v>0</x:v>
      </x:c>
    </x:row>
    <x:row r="883">
      <x:c r="J883" t="n">
        <x:v>1353</x:v>
      </x:c>
      <x:c r="K883" t="str">
        <x:v>True Grit</x:v>
      </x:c>
      <x:c r="L883" t="n">
        <x:v>40534</x:v>
      </x:c>
      <x:c r="M883" t="n">
        <x:v>110</x:v>
      </x:c>
      <x:c r="N883" t="str">
        <x:v>Western</x:v>
      </x:c>
      <x:c r="O883" t="str">
        <x:v>Joel Coen</x:v>
      </x:c>
      <x:c r="P883" t="str">
        <x:v>Paramount Pictures</x:v>
      </x:c>
      <x:c r="Q883" t="str">
        <x:v>United States</x:v>
      </x:c>
      <x:c r="R883" t="str">
        <x:v>English</x:v>
      </x:c>
      <x:c r="S883" t="n">
        <x:v>15</x:v>
      </x:c>
      <x:c r="T883" t="n">
        <x:v>38000000</x:v>
      </x:c>
      <x:c r="U883" t="n">
        <x:v>252300000</x:v>
      </x:c>
      <x:c r="V883" t="n">
        <x:v>10</x:v>
      </x:c>
      <x:c r="W883" t="n">
        <x:v>0</x:v>
      </x:c>
    </x:row>
    <x:row r="884">
      <x:c r="J884" t="n">
        <x:v>1354</x:v>
      </x:c>
      <x:c r="K884" t="str">
        <x:v>Red Heat</x:v>
      </x:c>
      <x:c r="L884" t="n">
        <x:v>32308</x:v>
      </x:c>
      <x:c r="M884" t="n">
        <x:v>103</x:v>
      </x:c>
      <x:c r="N884" t="str">
        <x:v>Action</x:v>
      </x:c>
      <x:c r="O884" t="str">
        <x:v>Walter Hill</x:v>
      </x:c>
      <x:c r="P884" t="str">
        <x:v>Carolco Pictures</x:v>
      </x:c>
      <x:c r="Q884" t="str">
        <x:v>United States</x:v>
      </x:c>
      <x:c r="R884" t="str">
        <x:v>English</x:v>
      </x:c>
      <x:c r="S884" t="n">
        <x:v>18</x:v>
      </x:c>
      <x:c r="T884" t="n">
        <x:v>29000000</x:v>
      </x:c>
      <x:c r="U884" t="n">
        <x:v>35000000</x:v>
      </x:c>
      <x:c r="V884" t="n">
        <x:v>0</x:v>
      </x:c>
      <x:c r="W884" t="n">
        <x:v>0</x:v>
      </x:c>
    </x:row>
    <x:row r="885">
      <x:c r="J885" t="n">
        <x:v>1355</x:v>
      </x:c>
      <x:c r="K885" t="str">
        <x:v>Predator</x:v>
      </x:c>
      <x:c r="L885" t="n">
        <x:v>31940</x:v>
      </x:c>
      <x:c r="M885" t="n">
        <x:v>107</x:v>
      </x:c>
      <x:c r="N885" t="str">
        <x:v>Science Fiction</x:v>
      </x:c>
      <x:c r="O885" t="str">
        <x:v>John McTiernan</x:v>
      </x:c>
      <x:c r="P885" t="str">
        <x:v>Silver Pictures</x:v>
      </x:c>
      <x:c r="Q885" t="str">
        <x:v>United States</x:v>
      </x:c>
      <x:c r="R885" t="str">
        <x:v>English</x:v>
      </x:c>
      <x:c r="S885" t="n">
        <x:v>18</x:v>
      </x:c>
      <x:c r="T885" t="n">
        <x:v>18000000</x:v>
      </x:c>
      <x:c r="U885" t="n">
        <x:v>98300000</x:v>
      </x:c>
      <x:c r="V885" t="n">
        <x:v>1</x:v>
      </x:c>
      <x:c r="W885" t="n">
        <x:v>0</x:v>
      </x:c>
    </x:row>
    <x:row r="886">
      <x:c r="J886" t="n">
        <x:v>1356</x:v>
      </x:c>
      <x:c r="K886" t="str">
        <x:v>Raw Deal</x:v>
      </x:c>
      <x:c r="L886" t="n">
        <x:v>31569</x:v>
      </x:c>
      <x:c r="M886" t="n">
        <x:v>107</x:v>
      </x:c>
      <x:c r="N886" t="str">
        <x:v>Action</x:v>
      </x:c>
      <x:c r="O886" t="str">
        <x:v>John Irvin</x:v>
      </x:c>
      <x:c r="P886" t="str">
        <x:v>Dino De Laurentiis Corporation</x:v>
      </x:c>
      <x:c r="Q886" t="str">
        <x:v>United States</x:v>
      </x:c>
      <x:c r="R886" t="str">
        <x:v>English</x:v>
      </x:c>
      <x:c r="S886" t="n">
        <x:v>18</x:v>
      </x:c>
      <x:c r="T886" t="n">
        <x:v>11000000</x:v>
      </x:c>
      <x:c r="U886" t="n">
        <x:v>18100000</x:v>
      </x:c>
      <x:c r="V886" t="n">
        <x:v>0</x:v>
      </x:c>
      <x:c r="W886" t="n">
        <x:v>0</x:v>
      </x:c>
    </x:row>
    <x:row r="887">
      <x:c r="J887" t="n">
        <x:v>1357</x:v>
      </x:c>
      <x:c r="K887" t="str">
        <x:v>Commando</x:v>
      </x:c>
      <x:c r="L887" t="n">
        <x:v>31324</x:v>
      </x:c>
      <x:c r="M887" t="n">
        <x:v>90</x:v>
      </x:c>
      <x:c r="N887" t="str">
        <x:v>Action</x:v>
      </x:c>
      <x:c r="O887" t="str">
        <x:v>Mark L. Lester</x:v>
      </x:c>
      <x:c r="P887" t="str">
        <x:v>Silver Pictures</x:v>
      </x:c>
      <x:c r="Q887" t="str">
        <x:v>United States</x:v>
      </x:c>
      <x:c r="R887" t="str">
        <x:v>English</x:v>
      </x:c>
      <x:c r="S887" t="n">
        <x:v>18</x:v>
      </x:c>
      <x:c r="T887" t="n">
        <x:v>10000000</x:v>
      </x:c>
      <x:c r="U887" t="n">
        <x:v>57500000</x:v>
      </x:c>
      <x:c r="V887" t="n">
        <x:v>0</x:v>
      </x:c>
      <x:c r="W887" t="n">
        <x:v>0</x:v>
      </x:c>
    </x:row>
    <x:row r="888">
      <x:c r="J888" t="n">
        <x:v>1358</x:v>
      </x:c>
      <x:c r="K888" t="str">
        <x:v>X-Men: The Last Stand</x:v>
      </x:c>
      <x:c r="L888" t="n">
        <x:v>38862</x:v>
      </x:c>
      <x:c r="M888" t="n">
        <x:v>104</x:v>
      </x:c>
      <x:c r="N888" t="str">
        <x:v>Action</x:v>
      </x:c>
      <x:c r="O888" t="str">
        <x:v>Brett Ratner</x:v>
      </x:c>
      <x:c r="P888" t="str">
        <x:v>Marvel Entertainment</x:v>
      </x:c>
      <x:c r="Q888" t="str">
        <x:v>United States</x:v>
      </x:c>
      <x:c r="R888" t="str">
        <x:v>English</x:v>
      </x:c>
      <x:c r="S888" t="str">
        <x:v>12A</x:v>
      </x:c>
      <x:c r="T888" t="n">
        <x:v>210000000</x:v>
      </x:c>
      <x:c r="U888" t="n">
        <x:v>459400000</x:v>
      </x:c>
      <x:c r="V888" t="n">
        <x:v>0</x:v>
      </x:c>
      <x:c r="W888" t="n">
        <x:v>0</x:v>
      </x:c>
    </x:row>
    <x:row r="889">
      <x:c r="J889" t="n">
        <x:v>1359</x:v>
      </x:c>
      <x:c r="K889" t="str">
        <x:v>Red Sonja</x:v>
      </x:c>
      <x:c r="L889" t="n">
        <x:v>31231</x:v>
      </x:c>
      <x:c r="M889" t="n">
        <x:v>89</x:v>
      </x:c>
      <x:c r="N889" t="str">
        <x:v>Fantasy</x:v>
      </x:c>
      <x:c r="O889" t="str">
        <x:v>Richard Fleischer</x:v>
      </x:c>
      <x:c r="P889" t="str">
        <x:v>Dino De Laurentiis Corporation</x:v>
      </x:c>
      <x:c r="Q889" t="str">
        <x:v>Netherlands</x:v>
      </x:c>
      <x:c r="R889" t="str">
        <x:v>English</x:v>
      </x:c>
      <x:c r="S889" t="n">
        <x:v>15</x:v>
      </x:c>
      <x:c r="T889" t="n">
        <x:v>17900000</x:v>
      </x:c>
      <x:c r="U889" t="n">
        <x:v>6900000</x:v>
      </x:c>
      <x:c r="V889" t="n">
        <x:v>0</x:v>
      </x:c>
      <x:c r="W889" t="n">
        <x:v>0</x:v>
      </x:c>
    </x:row>
    <x:row r="890">
      <x:c r="J890" t="n">
        <x:v>1360</x:v>
      </x:c>
      <x:c r="K890" t="str">
        <x:v>Conan the Destroyer</x:v>
      </x:c>
      <x:c r="L890" t="n">
        <x:v>30862</x:v>
      </x:c>
      <x:c r="M890" t="n">
        <x:v>101</x:v>
      </x:c>
      <x:c r="N890" t="str">
        <x:v>Fantasy</x:v>
      </x:c>
      <x:c r="O890" t="str">
        <x:v>Richard Fleischer</x:v>
      </x:c>
      <x:c r="P890" t="str">
        <x:v>Dino De Laurentiis Corporation</x:v>
      </x:c>
      <x:c r="Q890" t="str">
        <x:v>United States</x:v>
      </x:c>
      <x:c r="R890" t="str">
        <x:v>English</x:v>
      </x:c>
      <x:c r="S890" t="n">
        <x:v>15</x:v>
      </x:c>
      <x:c r="T890" t="n">
        <x:v>18000000</x:v>
      </x:c>
      <x:c r="U890" t="n">
        <x:v>100000000</x:v>
      </x:c>
      <x:c r="V890" t="n">
        <x:v>0</x:v>
      </x:c>
      <x:c r="W890" t="n">
        <x:v>0</x:v>
      </x:c>
    </x:row>
    <x:row r="891">
      <x:c r="J891" t="n">
        <x:v>1361</x:v>
      </x:c>
      <x:c r="K891" t="str">
        <x:v>Conan the Barbarian</x:v>
      </x:c>
      <x:c r="L891" t="n">
        <x:v>30026</x:v>
      </x:c>
      <x:c r="M891" t="n">
        <x:v>129</x:v>
      </x:c>
      <x:c r="N891" t="str">
        <x:v>Fantasy</x:v>
      </x:c>
      <x:c r="O891" t="str">
        <x:v>John Milius</x:v>
      </x:c>
      <x:c r="P891" t="str">
        <x:v>Dino De Laurentiis Corporation</x:v>
      </x:c>
      <x:c r="Q891" t="str">
        <x:v>United States</x:v>
      </x:c>
      <x:c r="R891" t="str">
        <x:v>English</x:v>
      </x:c>
      <x:c r="S891" t="n">
        <x:v>15</x:v>
      </x:c>
      <x:c r="T891" t="n">
        <x:v>16000000</x:v>
      </x:c>
      <x:c r="U891" t="n">
        <x:v>130000000</x:v>
      </x:c>
      <x:c r="V891" t="n">
        <x:v>0</x:v>
      </x:c>
      <x:c r="W891" t="n">
        <x:v>0</x:v>
      </x:c>
    </x:row>
    <x:row r="892">
      <x:c r="J892" t="n">
        <x:v>1362</x:v>
      </x:c>
      <x:c r="K892" t="str">
        <x:v>Conan the Barbarian</x:v>
      </x:c>
      <x:c r="L892" t="n">
        <x:v>40766</x:v>
      </x:c>
      <x:c r="M892" t="n">
        <x:v>113</x:v>
      </x:c>
      <x:c r="N892" t="str">
        <x:v>Fantasy</x:v>
      </x:c>
      <x:c r="O892" t="str">
        <x:v>Marcus Nispel</x:v>
      </x:c>
      <x:c r="P892" t="str">
        <x:v>Millennium Films</x:v>
      </x:c>
      <x:c r="Q892" t="str">
        <x:v>United States</x:v>
      </x:c>
      <x:c r="R892" t="str">
        <x:v>English</x:v>
      </x:c>
      <x:c r="S892" t="n">
        <x:v>15</x:v>
      </x:c>
      <x:c r="T892" t="n">
        <x:v>90000000</x:v>
      </x:c>
      <x:c r="U892" t="n">
        <x:v>48800000</x:v>
      </x:c>
      <x:c r="V892" t="n">
        <x:v>0</x:v>
      </x:c>
      <x:c r="W892" t="n">
        <x:v>0</x:v>
      </x:c>
    </x:row>
    <x:row r="893">
      <x:c r="J893" t="n">
        <x:v>1363</x:v>
      </x:c>
      <x:c r="K893" t="str">
        <x:v>Pumping Iron</x:v>
      </x:c>
      <x:c r="L893" t="n">
        <x:v>28143</x:v>
      </x:c>
      <x:c r="M893" t="n">
        <x:v>85</x:v>
      </x:c>
      <x:c r="N893" t="str">
        <x:v>Documentary</x:v>
      </x:c>
      <x:c r="O893" t="str">
        <x:v>George Butler</x:v>
      </x:c>
      <x:c r="P893" t="str">
        <x:v>White Mountain Films</x:v>
      </x:c>
      <x:c r="Q893" t="str">
        <x:v>United States</x:v>
      </x:c>
      <x:c r="R893" t="str">
        <x:v>English</x:v>
      </x:c>
      <x:c r="S893" t="n">
        <x:v>12</x:v>
      </x:c>
      <x:c r="T893" t="n">
        <x:v>1000000</x:v>
      </x:c>
      <x:c r="U893"/>
      <x:c r="V893" t="n">
        <x:v>0</x:v>
      </x:c>
      <x:c r="W893" t="n">
        <x:v>0</x:v>
      </x:c>
    </x:row>
    <x:row r="894">
      <x:c r="J894" t="n">
        <x:v>1364</x:v>
      </x:c>
      <x:c r="K894" t="str">
        <x:v>Hercules in New York</x:v>
      </x:c>
      <x:c r="L894" t="n">
        <x:v>25553</x:v>
      </x:c>
      <x:c r="M894" t="n">
        <x:v>91</x:v>
      </x:c>
      <x:c r="N894" t="str">
        <x:v>Comedy</x:v>
      </x:c>
      <x:c r="O894" t="str">
        <x:v>Arthur Allan Seidelman</x:v>
      </x:c>
      <x:c r="P894" t="str">
        <x:v>RAF Industires</x:v>
      </x:c>
      <x:c r="Q894" t="str">
        <x:v>United States</x:v>
      </x:c>
      <x:c r="R894" t="str">
        <x:v>English</x:v>
      </x:c>
      <x:c r="S894" t="str">
        <x:v>PG</x:v>
      </x:c>
      <x:c r="T894"/>
      <x:c r="U894"/>
      <x:c r="V894" t="n">
        <x:v>0</x:v>
      </x:c>
      <x:c r="W894" t="n">
        <x:v>0</x:v>
      </x:c>
    </x:row>
    <x:row r="895">
      <x:c r="J895" t="n">
        <x:v>1365</x:v>
      </x:c>
      <x:c r="K895" t="str">
        <x:v>3 Days to Kill</x:v>
      </x:c>
      <x:c r="L895" t="n">
        <x:v>41682</x:v>
      </x:c>
      <x:c r="M895" t="n">
        <x:v>117</x:v>
      </x:c>
      <x:c r="N895" t="str">
        <x:v>Thriller</x:v>
      </x:c>
      <x:c r="O895" t="str">
        <x:v>McG</x:v>
      </x:c>
      <x:c r="P895" t="str">
        <x:v>EuropaCorp</x:v>
      </x:c>
      <x:c r="Q895" t="str">
        <x:v>France</x:v>
      </x:c>
      <x:c r="R895" t="str">
        <x:v>English</x:v>
      </x:c>
      <x:c r="S895" t="str">
        <x:v>12A</x:v>
      </x:c>
      <x:c r="T895" t="n">
        <x:v>28000000</x:v>
      </x:c>
      <x:c r="U895" t="n">
        <x:v>52600000</x:v>
      </x:c>
      <x:c r="V895" t="n">
        <x:v>0</x:v>
      </x:c>
      <x:c r="W895" t="n">
        <x:v>0</x:v>
      </x:c>
    </x:row>
    <x:row r="896">
      <x:c r="J896" t="n">
        <x:v>1366</x:v>
      </x:c>
      <x:c r="K896" t="str">
        <x:v>This Means War</x:v>
      </x:c>
      <x:c r="L896" t="n">
        <x:v>40956</x:v>
      </x:c>
      <x:c r="M896" t="n">
        <x:v>97</x:v>
      </x:c>
      <x:c r="N896" t="str">
        <x:v>Action</x:v>
      </x:c>
      <x:c r="O896" t="str">
        <x:v>McG</x:v>
      </x:c>
      <x:c r="P896" t="str">
        <x:v>Dune Entertainment</x:v>
      </x:c>
      <x:c r="Q896" t="str">
        <x:v>United States</x:v>
      </x:c>
      <x:c r="R896" t="str">
        <x:v>English</x:v>
      </x:c>
      <x:c r="S896" t="str">
        <x:v>12A</x:v>
      </x:c>
      <x:c r="T896" t="n">
        <x:v>65000000</x:v>
      </x:c>
      <x:c r="U896" t="n">
        <x:v>156500000</x:v>
      </x:c>
      <x:c r="V896" t="n">
        <x:v>0</x:v>
      </x:c>
      <x:c r="W896" t="n">
        <x:v>0</x:v>
      </x:c>
    </x:row>
    <x:row r="897">
      <x:c r="J897" t="n">
        <x:v>1367</x:v>
      </x:c>
      <x:c r="K897" t="str">
        <x:v>We Are Marshall</x:v>
      </x:c>
      <x:c r="L897" t="n">
        <x:v>39073</x:v>
      </x:c>
      <x:c r="M897" t="n">
        <x:v>131</x:v>
      </x:c>
      <x:c r="N897" t="str">
        <x:v>Drama</x:v>
      </x:c>
      <x:c r="O897" t="str">
        <x:v>McG</x:v>
      </x:c>
      <x:c r="P897" t="str">
        <x:v>Legendary Pictures</x:v>
      </x:c>
      <x:c r="Q897" t="str">
        <x:v>United States</x:v>
      </x:c>
      <x:c r="R897" t="str">
        <x:v>English</x:v>
      </x:c>
      <x:c r="S897" t="str">
        <x:v>PG</x:v>
      </x:c>
      <x:c r="T897" t="n">
        <x:v>65000000</x:v>
      </x:c>
      <x:c r="U897" t="n">
        <x:v>43500000</x:v>
      </x:c>
      <x:c r="V897" t="n">
        <x:v>0</x:v>
      </x:c>
      <x:c r="W897" t="n">
        <x:v>0</x:v>
      </x:c>
    </x:row>
    <x:row r="898">
      <x:c r="J898" t="n">
        <x:v>1368</x:v>
      </x:c>
      <x:c r="K898" t="str">
        <x:v>X-Men: First Class</x:v>
      </x:c>
      <x:c r="L898" t="n">
        <x:v>40688</x:v>
      </x:c>
      <x:c r="M898" t="n">
        <x:v>132</x:v>
      </x:c>
      <x:c r="N898" t="str">
        <x:v>Action</x:v>
      </x:c>
      <x:c r="O898" t="str">
        <x:v>Matthew Vaughn</x:v>
      </x:c>
      <x:c r="P898" t="str">
        <x:v>Marvel Entertainment</x:v>
      </x:c>
      <x:c r="Q898" t="str">
        <x:v>United States</x:v>
      </x:c>
      <x:c r="R898" t="str">
        <x:v>English</x:v>
      </x:c>
      <x:c r="S898" t="str">
        <x:v>12A</x:v>
      </x:c>
      <x:c r="T898" t="n">
        <x:v>160000000</x:v>
      </x:c>
      <x:c r="U898" t="n">
        <x:v>353600000</x:v>
      </x:c>
      <x:c r="V898" t="n">
        <x:v>0</x:v>
      </x:c>
      <x:c r="W898" t="n">
        <x:v>0</x:v>
      </x:c>
    </x:row>
    <x:row r="899">
      <x:c r="J899" t="n">
        <x:v>1369</x:v>
      </x:c>
      <x:c r="K899" t="str">
        <x:v>Charlie's Angels</x:v>
      </x:c>
      <x:c r="L899" t="n">
        <x:v>36833</x:v>
      </x:c>
      <x:c r="M899" t="n">
        <x:v>98</x:v>
      </x:c>
      <x:c r="N899" t="str">
        <x:v>Action</x:v>
      </x:c>
      <x:c r="O899" t="str">
        <x:v>McG</x:v>
      </x:c>
      <x:c r="P899" t="str">
        <x:v>Columbia Pictures</x:v>
      </x:c>
      <x:c r="Q899" t="str">
        <x:v>United States</x:v>
      </x:c>
      <x:c r="R899" t="str">
        <x:v>English</x:v>
      </x:c>
      <x:c r="S899" t="n">
        <x:v>15</x:v>
      </x:c>
      <x:c r="T899" t="n">
        <x:v>90000000</x:v>
      </x:c>
      <x:c r="U899" t="n">
        <x:v>264100000</x:v>
      </x:c>
      <x:c r="V899" t="n">
        <x:v>0</x:v>
      </x:c>
      <x:c r="W899" t="n">
        <x:v>0</x:v>
      </x:c>
    </x:row>
    <x:row r="900">
      <x:c r="J900" t="n">
        <x:v>1370</x:v>
      </x:c>
      <x:c r="K900" t="str">
        <x:v>Charlie's Angels: Full Throttle</x:v>
      </x:c>
      <x:c r="L900" t="n">
        <x:v>37799</x:v>
      </x:c>
      <x:c r="M900" t="n">
        <x:v>106</x:v>
      </x:c>
      <x:c r="N900" t="str">
        <x:v>Action</x:v>
      </x:c>
      <x:c r="O900" t="str">
        <x:v>McG</x:v>
      </x:c>
      <x:c r="P900" t="str">
        <x:v>Columbia Pictures</x:v>
      </x:c>
      <x:c r="Q900" t="str">
        <x:v>United States</x:v>
      </x:c>
      <x:c r="R900" t="str">
        <x:v>English</x:v>
      </x:c>
      <x:c r="S900" t="str">
        <x:v>12A</x:v>
      </x:c>
      <x:c r="T900" t="n">
        <x:v>120000000</x:v>
      </x:c>
      <x:c r="U900" t="n">
        <x:v>259100000</x:v>
      </x:c>
      <x:c r="V900" t="n">
        <x:v>0</x:v>
      </x:c>
      <x:c r="W900" t="n">
        <x:v>0</x:v>
      </x:c>
    </x:row>
    <x:row r="901">
      <x:c r="J901" t="n">
        <x:v>1371</x:v>
      </x:c>
      <x:c r="K901" t="str">
        <x:v>Kingsman: The Secret Service</x:v>
      </x:c>
      <x:c r="L901" t="n">
        <x:v>41986</x:v>
      </x:c>
      <x:c r="M901" t="n">
        <x:v>129</x:v>
      </x:c>
      <x:c r="N901" t="str">
        <x:v>Action</x:v>
      </x:c>
      <x:c r="O901" t="str">
        <x:v>Matthew Vaughn</x:v>
      </x:c>
      <x:c r="P901" t="str">
        <x:v>Shangri-La Entertainment</x:v>
      </x:c>
      <x:c r="Q901" t="str">
        <x:v>United Kingdom</x:v>
      </x:c>
      <x:c r="R901" t="str">
        <x:v>English</x:v>
      </x:c>
      <x:c r="S901" t="n">
        <x:v>15</x:v>
      </x:c>
      <x:c r="T901" t="n">
        <x:v>94000000</x:v>
      </x:c>
      <x:c r="U901" t="n">
        <x:v>414400000</x:v>
      </x:c>
      <x:c r="V901" t="n">
        <x:v>0</x:v>
      </x:c>
      <x:c r="W901" t="n">
        <x:v>0</x:v>
      </x:c>
    </x:row>
    <x:row r="902">
      <x:c r="J902" t="n">
        <x:v>1372</x:v>
      </x:c>
      <x:c r="K902" t="str">
        <x:v>Kick-Ass</x:v>
      </x:c>
      <x:c r="L902" t="n">
        <x:v>40263</x:v>
      </x:c>
      <x:c r="M902" t="n">
        <x:v>117</x:v>
      </x:c>
      <x:c r="N902" t="str">
        <x:v>Action</x:v>
      </x:c>
      <x:c r="O902" t="str">
        <x:v>Matthew Vaughn</x:v>
      </x:c>
      <x:c r="P902" t="str">
        <x:v>Plan B Entertainment</x:v>
      </x:c>
      <x:c r="Q902" t="str">
        <x:v>United Kingdom</x:v>
      </x:c>
      <x:c r="R902" t="str">
        <x:v>English</x:v>
      </x:c>
      <x:c r="S902" t="n">
        <x:v>15</x:v>
      </x:c>
      <x:c r="T902" t="n">
        <x:v>30000000</x:v>
      </x:c>
      <x:c r="U902" t="n">
        <x:v>96200000</x:v>
      </x:c>
      <x:c r="V902" t="n">
        <x:v>0</x:v>
      </x:c>
      <x:c r="W902" t="n">
        <x:v>0</x:v>
      </x:c>
    </x:row>
    <x:row r="903">
      <x:c r="J903" t="n">
        <x:v>1373</x:v>
      </x:c>
      <x:c r="K903" t="str">
        <x:v>Stardust</x:v>
      </x:c>
      <x:c r="L903" t="n">
        <x:v>39304</x:v>
      </x:c>
      <x:c r="M903" t="n">
        <x:v>127</x:v>
      </x:c>
      <x:c r="N903" t="str">
        <x:v>Fantasy</x:v>
      </x:c>
      <x:c r="O903" t="str">
        <x:v>Matthew Vaughn</x:v>
      </x:c>
      <x:c r="P903" t="str">
        <x:v>Marv Films</x:v>
      </x:c>
      <x:c r="Q903" t="str">
        <x:v>United Kingdom</x:v>
      </x:c>
      <x:c r="R903" t="str">
        <x:v>English</x:v>
      </x:c>
      <x:c r="S903" t="str">
        <x:v>PG</x:v>
      </x:c>
      <x:c r="T903" t="n">
        <x:v>88500000</x:v>
      </x:c>
      <x:c r="U903" t="n">
        <x:v>135600000</x:v>
      </x:c>
      <x:c r="V903" t="n">
        <x:v>0</x:v>
      </x:c>
      <x:c r="W903" t="n">
        <x:v>0</x:v>
      </x:c>
    </x:row>
    <x:row r="904">
      <x:c r="J904" t="n">
        <x:v>1374</x:v>
      </x:c>
      <x:c r="K904" t="str">
        <x:v>Layer Cake</x:v>
      </x:c>
      <x:c r="L904" t="n">
        <x:v>38261</x:v>
      </x:c>
      <x:c r="M904" t="n">
        <x:v>105</x:v>
      </x:c>
      <x:c r="N904" t="str">
        <x:v>Crime</x:v>
      </x:c>
      <x:c r="O904" t="str">
        <x:v>Matthew Vaughn</x:v>
      </x:c>
      <x:c r="P904" t="str">
        <x:v>Marv Films</x:v>
      </x:c>
      <x:c r="Q904" t="str">
        <x:v>United Kingdom</x:v>
      </x:c>
      <x:c r="R904" t="str">
        <x:v>English</x:v>
      </x:c>
      <x:c r="S904" t="n">
        <x:v>15</x:v>
      </x:c>
      <x:c r="T904" t="n">
        <x:v>6500000</x:v>
      </x:c>
      <x:c r="U904" t="n">
        <x:v>11900000</x:v>
      </x:c>
      <x:c r="V904" t="n">
        <x:v>0</x:v>
      </x:c>
      <x:c r="W904" t="n">
        <x:v>0</x:v>
      </x:c>
    </x:row>
    <x:row r="905">
      <x:c r="J905" t="n">
        <x:v>1375</x:v>
      </x:c>
      <x:c r="K905" t="str">
        <x:v>Underworld</x:v>
      </x:c>
      <x:c r="L905" t="n">
        <x:v>37883</x:v>
      </x:c>
      <x:c r="M905" t="n">
        <x:v>121</x:v>
      </x:c>
      <x:c r="N905" t="str">
        <x:v>Action</x:v>
      </x:c>
      <x:c r="O905" t="str">
        <x:v>Len Wiseman</x:v>
      </x:c>
      <x:c r="P905" t="str">
        <x:v>Lakeshore Entertainment</x:v>
      </x:c>
      <x:c r="Q905" t="str">
        <x:v>United Kingdom</x:v>
      </x:c>
      <x:c r="R905" t="str">
        <x:v>English</x:v>
      </x:c>
      <x:c r="S905" t="n">
        <x:v>15</x:v>
      </x:c>
      <x:c r="T905" t="n">
        <x:v>22000000</x:v>
      </x:c>
      <x:c r="U905" t="n">
        <x:v>95700000</x:v>
      </x:c>
      <x:c r="V905" t="n">
        <x:v>0</x:v>
      </x:c>
      <x:c r="W905" t="n">
        <x:v>0</x:v>
      </x:c>
    </x:row>
    <x:row r="906">
      <x:c r="J906" t="n">
        <x:v>1376</x:v>
      </x:c>
      <x:c r="K906" t="str">
        <x:v>Underworld: Evolution</x:v>
      </x:c>
      <x:c r="L906" t="n">
        <x:v>38737</x:v>
      </x:c>
      <x:c r="M906" t="n">
        <x:v>106</x:v>
      </x:c>
      <x:c r="N906" t="str">
        <x:v>Action</x:v>
      </x:c>
      <x:c r="O906" t="str">
        <x:v>Len Wiseman</x:v>
      </x:c>
      <x:c r="P906" t="str">
        <x:v>Lakeshore Entertainment</x:v>
      </x:c>
      <x:c r="Q906" t="str">
        <x:v>United Kingdom</x:v>
      </x:c>
      <x:c r="R906" t="str">
        <x:v>English</x:v>
      </x:c>
      <x:c r="S906" t="n">
        <x:v>18</x:v>
      </x:c>
      <x:c r="T906" t="n">
        <x:v>45000000</x:v>
      </x:c>
      <x:c r="U906" t="n">
        <x:v>111300000</x:v>
      </x:c>
      <x:c r="V906" t="n">
        <x:v>0</x:v>
      </x:c>
      <x:c r="W906" t="n">
        <x:v>0</x:v>
      </x:c>
    </x:row>
    <x:row r="907">
      <x:c r="J907" t="n">
        <x:v>1377</x:v>
      </x:c>
      <x:c r="K907" t="str">
        <x:v>For a Few Dollars More</x:v>
      </x:c>
      <x:c r="L907" t="n">
        <x:v>24064</x:v>
      </x:c>
      <x:c r="M907" t="n">
        <x:v>132</x:v>
      </x:c>
      <x:c r="N907" t="str">
        <x:v>Western</x:v>
      </x:c>
      <x:c r="O907" t="str">
        <x:v>Sergio Leone</x:v>
      </x:c>
      <x:c r="P907" t="str">
        <x:v>Constantin Film</x:v>
      </x:c>
      <x:c r="Q907" t="str">
        <x:v>Italy</x:v>
      </x:c>
      <x:c r="R907" t="str">
        <x:v>Italian</x:v>
      </x:c>
      <x:c r="S907" t="n">
        <x:v>15</x:v>
      </x:c>
      <x:c r="T907" t="n">
        <x:v>600000</x:v>
      </x:c>
      <x:c r="U907" t="n">
        <x:v>15000000</x:v>
      </x:c>
      <x:c r="V907" t="n">
        <x:v>0</x:v>
      </x:c>
      <x:c r="W907" t="n">
        <x:v>0</x:v>
      </x:c>
    </x:row>
    <x:row r="908">
      <x:c r="J908" t="n">
        <x:v>1378</x:v>
      </x:c>
      <x:c r="K908" t="str">
        <x:v>Once Upon a Time in the West</x:v>
      </x:c>
      <x:c r="L908" t="n">
        <x:v>25193</x:v>
      </x:c>
      <x:c r="M908" t="n">
        <x:v>165</x:v>
      </x:c>
      <x:c r="N908" t="str">
        <x:v>Western</x:v>
      </x:c>
      <x:c r="O908" t="str">
        <x:v>Sergio Leone</x:v>
      </x:c>
      <x:c r="P908" t="str">
        <x:v>Paramount Pictures</x:v>
      </x:c>
      <x:c r="Q908" t="str">
        <x:v>Italy</x:v>
      </x:c>
      <x:c r="R908" t="str">
        <x:v>Italian</x:v>
      </x:c>
      <x:c r="S908" t="n">
        <x:v>15</x:v>
      </x:c>
      <x:c r="T908" t="n">
        <x:v>5000000</x:v>
      </x:c>
      <x:c r="U908" t="n">
        <x:v>5321500</x:v>
      </x:c>
      <x:c r="V908" t="n">
        <x:v>0</x:v>
      </x:c>
      <x:c r="W908" t="n">
        <x:v>0</x:v>
      </x:c>
    </x:row>
    <x:row r="909">
      <x:c r="J909" t="n">
        <x:v>1379</x:v>
      </x:c>
      <x:c r="K909" t="str">
        <x:v>Once Upon a Time in America</x:v>
      </x:c>
      <x:c r="L909" t="n">
        <x:v>30825</x:v>
      </x:c>
      <x:c r="M909" t="n">
        <x:v>229</x:v>
      </x:c>
      <x:c r="N909" t="str">
        <x:v>Crime</x:v>
      </x:c>
      <x:c r="O909" t="str">
        <x:v>Sergio Leone</x:v>
      </x:c>
      <x:c r="P909" t="str">
        <x:v>The Ladd Company</x:v>
      </x:c>
      <x:c r="Q909" t="str">
        <x:v>United States</x:v>
      </x:c>
      <x:c r="R909" t="str">
        <x:v>English</x:v>
      </x:c>
      <x:c r="S909" t="n">
        <x:v>18</x:v>
      </x:c>
      <x:c r="T909" t="n">
        <x:v>30000000</x:v>
      </x:c>
      <x:c r="U909" t="n">
        <x:v>5300000</x:v>
      </x:c>
      <x:c r="V909" t="n">
        <x:v>0</x:v>
      </x:c>
      <x:c r="W909" t="n">
        <x:v>0</x:v>
      </x:c>
    </x:row>
    <x:row r="910">
      <x:c r="J910" t="n">
        <x:v>1380</x:v>
      </x:c>
      <x:c r="K910" t="str">
        <x:v>Underworld: Rise of the Lycans</x:v>
      </x:c>
      <x:c r="L910" t="n">
        <x:v>39836</x:v>
      </x:c>
      <x:c r="M910" t="n">
        <x:v>92</x:v>
      </x:c>
      <x:c r="N910" t="str">
        <x:v>Action</x:v>
      </x:c>
      <x:c r="O910" t="str">
        <x:v>Patrick Tatopoulos</x:v>
      </x:c>
      <x:c r="P910" t="str">
        <x:v>Lakeshore Entertainment</x:v>
      </x:c>
      <x:c r="Q910" t="str">
        <x:v>United States</x:v>
      </x:c>
      <x:c r="R910" t="str">
        <x:v>English</x:v>
      </x:c>
      <x:c r="S910" t="n">
        <x:v>18</x:v>
      </x:c>
      <x:c r="T910" t="n">
        <x:v>35000000</x:v>
      </x:c>
      <x:c r="U910" t="n">
        <x:v>91300000</x:v>
      </x:c>
      <x:c r="V910" t="n">
        <x:v>0</x:v>
      </x:c>
      <x:c r="W910" t="n">
        <x:v>0</x:v>
      </x:c>
    </x:row>
    <x:row r="911">
      <x:c r="J911" t="n">
        <x:v>1381</x:v>
      </x:c>
      <x:c r="K911" t="str">
        <x:v>Underworld: Awakening</x:v>
      </x:c>
      <x:c r="L911" t="n">
        <x:v>40928</x:v>
      </x:c>
      <x:c r="M911" t="n">
        <x:v>89</x:v>
      </x:c>
      <x:c r="N911" t="str">
        <x:v>Action</x:v>
      </x:c>
      <x:c r="O911" t="str">
        <x:v>Mans Marlind</x:v>
      </x:c>
      <x:c r="P911" t="str">
        <x:v>Lakeshore Entertainment</x:v>
      </x:c>
      <x:c r="Q911" t="str">
        <x:v>United States</x:v>
      </x:c>
      <x:c r="R911" t="str">
        <x:v>English</x:v>
      </x:c>
      <x:c r="S911" t="n">
        <x:v>18</x:v>
      </x:c>
      <x:c r="T911" t="n">
        <x:v>70000000</x:v>
      </x:c>
      <x:c r="U911" t="n">
        <x:v>160000000</x:v>
      </x:c>
      <x:c r="V911" t="n">
        <x:v>0</x:v>
      </x:c>
      <x:c r="W911" t="n">
        <x:v>0</x:v>
      </x:c>
    </x:row>
    <x:row r="912">
      <x:c r="J912" t="n">
        <x:v>1382</x:v>
      </x:c>
      <x:c r="K912" t="str">
        <x:v>Underworld: Blood Wars</x:v>
      </x:c>
      <x:c r="L912" t="n">
        <x:v>42698</x:v>
      </x:c>
      <x:c r="M912" t="n">
        <x:v>91</x:v>
      </x:c>
      <x:c r="N912" t="str">
        <x:v>Action</x:v>
      </x:c>
      <x:c r="O912" t="str">
        <x:v>Anna Foerster</x:v>
      </x:c>
      <x:c r="P912" t="str">
        <x:v>Lakeshore Entertainment</x:v>
      </x:c>
      <x:c r="Q912" t="str">
        <x:v>United States</x:v>
      </x:c>
      <x:c r="R912" t="str">
        <x:v>English</x:v>
      </x:c>
      <x:c r="S912" t="n">
        <x:v>15</x:v>
      </x:c>
      <x:c r="T912"/>
      <x:c r="U912"/>
      <x:c r="V912" t="n">
        <x:v>0</x:v>
      </x:c>
      <x:c r="W912" t="n">
        <x:v>0</x:v>
      </x:c>
    </x:row>
    <x:row r="913">
      <x:c r="J913" t="n">
        <x:v>1383</x:v>
      </x:c>
      <x:c r="K913" t="str">
        <x:v>Stargate</x:v>
      </x:c>
      <x:c r="L913" t="n">
        <x:v>34635</x:v>
      </x:c>
      <x:c r="M913" t="n">
        <x:v>128</x:v>
      </x:c>
      <x:c r="N913" t="str">
        <x:v>Science Fiction</x:v>
      </x:c>
      <x:c r="O913" t="str">
        <x:v>Roland Emmerich</x:v>
      </x:c>
      <x:c r="P913" t="str">
        <x:v>StudioCanal</x:v>
      </x:c>
      <x:c r="Q913" t="str">
        <x:v>United States</x:v>
      </x:c>
      <x:c r="R913" t="str">
        <x:v>English</x:v>
      </x:c>
      <x:c r="S913" t="str">
        <x:v>PG</x:v>
      </x:c>
      <x:c r="T913" t="n">
        <x:v>55000000</x:v>
      </x:c>
      <x:c r="U913" t="n">
        <x:v>196600000</x:v>
      </x:c>
      <x:c r="V913" t="n">
        <x:v>0</x:v>
      </x:c>
      <x:c r="W913" t="n">
        <x:v>0</x:v>
      </x:c>
    </x:row>
    <x:row r="914">
      <x:c r="J914" t="n">
        <x:v>1384</x:v>
      </x:c>
      <x:c r="K914" t="str">
        <x:v>Under Siege</x:v>
      </x:c>
      <x:c r="L914" t="n">
        <x:v>33886</x:v>
      </x:c>
      <x:c r="M914" t="n">
        <x:v>103</x:v>
      </x:c>
      <x:c r="N914" t="str">
        <x:v>Action</x:v>
      </x:c>
      <x:c r="O914" t="str">
        <x:v>Andrew Davis</x:v>
      </x:c>
      <x:c r="P914" t="str">
        <x:v>Regency Enterprises</x:v>
      </x:c>
      <x:c r="Q914" t="str">
        <x:v>United States</x:v>
      </x:c>
      <x:c r="R914" t="str">
        <x:v>English</x:v>
      </x:c>
      <x:c r="S914" t="n">
        <x:v>15</x:v>
      </x:c>
      <x:c r="T914" t="n">
        <x:v>35000000</x:v>
      </x:c>
      <x:c r="U914" t="n">
        <x:v>156600000</x:v>
      </x:c>
      <x:c r="V914" t="n">
        <x:v>2</x:v>
      </x:c>
      <x:c r="W914" t="n">
        <x:v>0</x:v>
      </x:c>
    </x:row>
    <x:row r="915">
      <x:c r="J915" t="n">
        <x:v>1385</x:v>
      </x:c>
      <x:c r="K915" t="str">
        <x:v>Bridge of Spies</x:v>
      </x:c>
      <x:c r="L915" t="n">
        <x:v>42281</x:v>
      </x:c>
      <x:c r="M915" t="n">
        <x:v>141</x:v>
      </x:c>
      <x:c r="N915" t="str">
        <x:v>Thriller</x:v>
      </x:c>
      <x:c r="O915" t="str">
        <x:v>Steven Spielberg</x:v>
      </x:c>
      <x:c r="P915" t="str">
        <x:v>Dreamworks</x:v>
      </x:c>
      <x:c r="Q915" t="str">
        <x:v>United States</x:v>
      </x:c>
      <x:c r="R915" t="str">
        <x:v>English</x:v>
      </x:c>
      <x:c r="S915" t="str">
        <x:v>12A</x:v>
      </x:c>
      <x:c r="T915" t="n">
        <x:v>40000000</x:v>
      </x:c>
      <x:c r="U915" t="n">
        <x:v>165500000</x:v>
      </x:c>
      <x:c r="V915" t="n">
        <x:v>6</x:v>
      </x:c>
      <x:c r="W915" t="n">
        <x:v>1</x:v>
      </x:c>
    </x:row>
    <x:row r="916">
      <x:c r="J916" t="n">
        <x:v>1386</x:v>
      </x:c>
      <x:c r="K916" t="str">
        <x:v>Duel</x:v>
      </x:c>
      <x:c r="L916" t="n">
        <x:v>26250</x:v>
      </x:c>
      <x:c r="M916" t="n">
        <x:v>89</x:v>
      </x:c>
      <x:c r="N916" t="str">
        <x:v>Thriller</x:v>
      </x:c>
      <x:c r="O916" t="str">
        <x:v>Steven Spielberg</x:v>
      </x:c>
      <x:c r="P916" t="str">
        <x:v>Universal Pictures</x:v>
      </x:c>
      <x:c r="Q916" t="str">
        <x:v>United States</x:v>
      </x:c>
      <x:c r="R916" t="str">
        <x:v>English</x:v>
      </x:c>
      <x:c r="S916" t="str">
        <x:v>PG</x:v>
      </x:c>
      <x:c r="T916" t="n">
        <x:v>450000</x:v>
      </x:c>
      <x:c r="U916"/>
      <x:c r="V916" t="n">
        <x:v>0</x:v>
      </x:c>
      <x:c r="W916" t="n">
        <x:v>0</x:v>
      </x:c>
    </x:row>
    <x:row r="917">
      <x:c r="J917" t="n">
        <x:v>1387</x:v>
      </x:c>
      <x:c r="K917" t="str">
        <x:v>Empire of the Sun</x:v>
      </x:c>
      <x:c r="L917" t="n">
        <x:v>32122</x:v>
      </x:c>
      <x:c r="M917" t="n">
        <x:v>154</x:v>
      </x:c>
      <x:c r="N917" t="str">
        <x:v>War</x:v>
      </x:c>
      <x:c r="O917" t="str">
        <x:v>Steven Spielberg</x:v>
      </x:c>
      <x:c r="P917" t="str">
        <x:v>Amblin Entertainment</x:v>
      </x:c>
      <x:c r="Q917" t="str">
        <x:v>United States</x:v>
      </x:c>
      <x:c r="R917" t="str">
        <x:v>English</x:v>
      </x:c>
      <x:c r="S917" t="str">
        <x:v>PG</x:v>
      </x:c>
      <x:c r="T917" t="n">
        <x:v>35000000</x:v>
      </x:c>
      <x:c r="U917" t="n">
        <x:v>66700000</x:v>
      </x:c>
      <x:c r="V917" t="n">
        <x:v>6</x:v>
      </x:c>
      <x:c r="W917" t="n">
        <x:v>0</x:v>
      </x:c>
    </x:row>
    <x:row r="918">
      <x:c r="J918" t="n">
        <x:v>1388</x:v>
      </x:c>
      <x:c r="K918" t="str">
        <x:v>Amistad</x:v>
      </x:c>
      <x:c r="L918" t="n">
        <x:v>35774</x:v>
      </x:c>
      <x:c r="M918" t="n">
        <x:v>154</x:v>
      </x:c>
      <x:c r="N918" t="str">
        <x:v>History</x:v>
      </x:c>
      <x:c r="O918" t="str">
        <x:v>Steven Spielberg</x:v>
      </x:c>
      <x:c r="P918" t="str">
        <x:v>Dreamworks</x:v>
      </x:c>
      <x:c r="Q918" t="str">
        <x:v>United States</x:v>
      </x:c>
      <x:c r="R918" t="str">
        <x:v>English</x:v>
      </x:c>
      <x:c r="S918" t="n">
        <x:v>15</x:v>
      </x:c>
      <x:c r="T918" t="n">
        <x:v>36000000</x:v>
      </x:c>
      <x:c r="U918" t="n">
        <x:v>44200000</x:v>
      </x:c>
      <x:c r="V918" t="n">
        <x:v>4</x:v>
      </x:c>
      <x:c r="W918" t="n">
        <x:v>0</x:v>
      </x:c>
    </x:row>
    <x:row r="919">
      <x:c r="J919" t="n">
        <x:v>1389</x:v>
      </x:c>
      <x:c r="K919" t="str">
        <x:v>A.I. Artificial Intelligence</x:v>
      </x:c>
      <x:c r="L919" t="n">
        <x:v>37071</x:v>
      </x:c>
      <x:c r="M919" t="n">
        <x:v>146</x:v>
      </x:c>
      <x:c r="N919" t="str">
        <x:v>Science Fiction</x:v>
      </x:c>
      <x:c r="O919" t="str">
        <x:v>Steven Spielberg</x:v>
      </x:c>
      <x:c r="P919" t="str">
        <x:v>Amblin Entertainment</x:v>
      </x:c>
      <x:c r="Q919" t="str">
        <x:v>United States</x:v>
      </x:c>
      <x:c r="R919" t="str">
        <x:v>English</x:v>
      </x:c>
      <x:c r="S919" t="n">
        <x:v>12</x:v>
      </x:c>
      <x:c r="T919" t="n">
        <x:v>100000000</x:v>
      </x:c>
      <x:c r="U919" t="n">
        <x:v>235900000</x:v>
      </x:c>
      <x:c r="V919" t="n">
        <x:v>2</x:v>
      </x:c>
      <x:c r="W919" t="n">
        <x:v>0</x:v>
      </x:c>
    </x:row>
    <x:row r="920">
      <x:c r="J920" t="n">
        <x:v>1390</x:v>
      </x:c>
      <x:c r="K920" t="str">
        <x:v>Catch Me If You Can</x:v>
      </x:c>
      <x:c r="L920" t="n">
        <x:v>37615</x:v>
      </x:c>
      <x:c r="M920" t="n">
        <x:v>141</x:v>
      </x:c>
      <x:c r="N920" t="str">
        <x:v>Biography</x:v>
      </x:c>
      <x:c r="O920" t="str">
        <x:v>Steven Spielberg</x:v>
      </x:c>
      <x:c r="P920" t="str">
        <x:v>Amblin Entertainment</x:v>
      </x:c>
      <x:c r="Q920" t="str">
        <x:v>United States</x:v>
      </x:c>
      <x:c r="R920" t="str">
        <x:v>English</x:v>
      </x:c>
      <x:c r="S920" t="str">
        <x:v>12A</x:v>
      </x:c>
      <x:c r="T920" t="n">
        <x:v>52000000</x:v>
      </x:c>
      <x:c r="U920" t="n">
        <x:v>352100000</x:v>
      </x:c>
      <x:c r="V920" t="n">
        <x:v>2</x:v>
      </x:c>
      <x:c r="W920" t="n">
        <x:v>0</x:v>
      </x:c>
    </x:row>
    <x:row r="921">
      <x:c r="J921" t="n">
        <x:v>1391</x:v>
      </x:c>
      <x:c r="K921" t="str">
        <x:v>The Terminal</x:v>
      </x:c>
      <x:c r="L921" t="n">
        <x:v>38156</x:v>
      </x:c>
      <x:c r="M921" t="n">
        <x:v>128</x:v>
      </x:c>
      <x:c r="N921" t="str">
        <x:v>Comedy</x:v>
      </x:c>
      <x:c r="O921" t="str">
        <x:v>Steven Spielberg</x:v>
      </x:c>
      <x:c r="P921" t="str">
        <x:v>Amblin Entertainment</x:v>
      </x:c>
      <x:c r="Q921" t="str">
        <x:v>United States</x:v>
      </x:c>
      <x:c r="R921" t="str">
        <x:v>English</x:v>
      </x:c>
      <x:c r="S921" t="str">
        <x:v>12A</x:v>
      </x:c>
      <x:c r="T921" t="n">
        <x:v>60000000</x:v>
      </x:c>
      <x:c r="U921" t="n">
        <x:v>219400000</x:v>
      </x:c>
      <x:c r="V921" t="n">
        <x:v>0</x:v>
      </x:c>
      <x:c r="W921" t="n">
        <x:v>0</x:v>
      </x:c>
    </x:row>
    <x:row r="922">
      <x:c r="J922" t="n">
        <x:v>1392</x:v>
      </x:c>
      <x:c r="K922" t="str">
        <x:v>Lincoln</x:v>
      </x:c>
      <x:c r="L922" t="n">
        <x:v>41190</x:v>
      </x:c>
      <x:c r="M922" t="n">
        <x:v>150</x:v>
      </x:c>
      <x:c r="N922" t="str">
        <x:v>Biography</x:v>
      </x:c>
      <x:c r="O922" t="str">
        <x:v>Steven Spielberg</x:v>
      </x:c>
      <x:c r="P922" t="str">
        <x:v>Amblin Entertainment</x:v>
      </x:c>
      <x:c r="Q922" t="str">
        <x:v>United States</x:v>
      </x:c>
      <x:c r="R922" t="str">
        <x:v>English</x:v>
      </x:c>
      <x:c r="S922" t="str">
        <x:v>12A</x:v>
      </x:c>
      <x:c r="T922" t="n">
        <x:v>65000000</x:v>
      </x:c>
      <x:c r="U922" t="n">
        <x:v>275300000</x:v>
      </x:c>
      <x:c r="V922" t="n">
        <x:v>12</x:v>
      </x:c>
      <x:c r="W922" t="n">
        <x:v>2</x:v>
      </x:c>
    </x:row>
    <x:row r="923">
      <x:c r="J923" t="n">
        <x:v>1393</x:v>
      </x:c>
      <x:c r="K923" t="str">
        <x:v>Abraham Lincoln: Vampire Hunter</x:v>
      </x:c>
      <x:c r="L923" t="n">
        <x:v>41078</x:v>
      </x:c>
      <x:c r="M923" t="n">
        <x:v>105</x:v>
      </x:c>
      <x:c r="N923" t="str">
        <x:v>History</x:v>
      </x:c>
      <x:c r="O923" t="str">
        <x:v>Timur Bekmambetov</x:v>
      </x:c>
      <x:c r="P923" t="str">
        <x:v>Tim Burton Productions</x:v>
      </x:c>
      <x:c r="Q923" t="str">
        <x:v>United States</x:v>
      </x:c>
      <x:c r="R923" t="str">
        <x:v>English</x:v>
      </x:c>
      <x:c r="S923" t="n">
        <x:v>15</x:v>
      </x:c>
      <x:c r="T923" t="n">
        <x:v>99500000</x:v>
      </x:c>
      <x:c r="U923" t="n">
        <x:v>116400000</x:v>
      </x:c>
      <x:c r="V923" t="n">
        <x:v>0</x:v>
      </x:c>
      <x:c r="W923" t="n">
        <x:v>0</x:v>
      </x:c>
    </x:row>
    <x:row r="924">
      <x:c r="J924" t="n">
        <x:v>1394</x:v>
      </x:c>
      <x:c r="K924" t="str">
        <x:v>The BFG</x:v>
      </x:c>
      <x:c r="L924" t="n">
        <x:v>42504</x:v>
      </x:c>
      <x:c r="M924" t="n">
        <x:v>117</x:v>
      </x:c>
      <x:c r="N924" t="str">
        <x:v>Family</x:v>
      </x:c>
      <x:c r="O924" t="str">
        <x:v>Steven Spielberg</x:v>
      </x:c>
      <x:c r="P924" t="str">
        <x:v>Walt Disney Pictures</x:v>
      </x:c>
      <x:c r="Q924" t="str">
        <x:v>United States</x:v>
      </x:c>
      <x:c r="R924" t="str">
        <x:v>English</x:v>
      </x:c>
      <x:c r="S924" t="str">
        <x:v>PG</x:v>
      </x:c>
      <x:c r="T924" t="n">
        <x:v>140000000</x:v>
      </x:c>
      <x:c r="U924" t="n">
        <x:v>178000000</x:v>
      </x:c>
      <x:c r="V924" t="n">
        <x:v>0</x:v>
      </x:c>
      <x:c r="W924" t="n">
        <x:v>0</x:v>
      </x:c>
    </x:row>
    <x:row r="925">
      <x:c r="J925" t="n">
        <x:v>1395</x:v>
      </x:c>
      <x:c r="K925" t="str">
        <x:v>Day Watch</x:v>
      </x:c>
      <x:c r="L925" t="n">
        <x:v>38718</x:v>
      </x:c>
      <x:c r="M925" t="n">
        <x:v>131</x:v>
      </x:c>
      <x:c r="N925" t="str">
        <x:v>Fantasy</x:v>
      </x:c>
      <x:c r="O925" t="str">
        <x:v>Timur Bekmambetov</x:v>
      </x:c>
      <x:c r="P925" t="str">
        <x:v>Channel One Russia</x:v>
      </x:c>
      <x:c r="Q925" t="str">
        <x:v>Russia</x:v>
      </x:c>
      <x:c r="R925" t="str">
        <x:v>Russian</x:v>
      </x:c>
      <x:c r="S925" t="n">
        <x:v>15</x:v>
      </x:c>
      <x:c r="T925" t="n">
        <x:v>4200000</x:v>
      </x:c>
      <x:c r="U925" t="n">
        <x:v>38860000</x:v>
      </x:c>
      <x:c r="V925" t="n">
        <x:v>0</x:v>
      </x:c>
      <x:c r="W925" t="n">
        <x:v>0</x:v>
      </x:c>
    </x:row>
    <x:row r="926">
      <x:c r="J926" t="n">
        <x:v>1396</x:v>
      </x:c>
      <x:c r="K926" t="str">
        <x:v>Unbroken</x:v>
      </x:c>
      <x:c r="L926" t="n">
        <x:v>41960</x:v>
      </x:c>
      <x:c r="M926" t="n">
        <x:v>137</x:v>
      </x:c>
      <x:c r="N926" t="str">
        <x:v>Biography</x:v>
      </x:c>
      <x:c r="O926" t="str">
        <x:v>Angelina Jolie</x:v>
      </x:c>
      <x:c r="P926" t="str">
        <x:v>Legendary Pictures</x:v>
      </x:c>
      <x:c r="Q926" t="str">
        <x:v>United States</x:v>
      </x:c>
      <x:c r="R926" t="str">
        <x:v>English</x:v>
      </x:c>
      <x:c r="S926" t="n">
        <x:v>15</x:v>
      </x:c>
      <x:c r="T926" t="n">
        <x:v>65000000</x:v>
      </x:c>
      <x:c r="U926" t="n">
        <x:v>163400000</x:v>
      </x:c>
      <x:c r="V926" t="n">
        <x:v>3</x:v>
      </x:c>
      <x:c r="W926" t="n">
        <x:v>0</x:v>
      </x:c>
    </x:row>
    <x:row r="927">
      <x:c r="J927" t="n">
        <x:v>1397</x:v>
      </x:c>
      <x:c r="K927" t="str">
        <x:v>Inside Llewyn Davis</x:v>
      </x:c>
      <x:c r="L927" t="n">
        <x:v>41413</x:v>
      </x:c>
      <x:c r="M927" t="n">
        <x:v>105</x:v>
      </x:c>
      <x:c r="N927" t="str">
        <x:v>Drama</x:v>
      </x:c>
      <x:c r="O927" t="str">
        <x:v>Joel Coen</x:v>
      </x:c>
      <x:c r="P927" t="str">
        <x:v>StudioCanal</x:v>
      </x:c>
      <x:c r="Q927" t="str">
        <x:v>United States</x:v>
      </x:c>
      <x:c r="R927" t="str">
        <x:v>English</x:v>
      </x:c>
      <x:c r="S927" t="n">
        <x:v>15</x:v>
      </x:c>
      <x:c r="T927" t="n">
        <x:v>11000000</x:v>
      </x:c>
      <x:c r="U927" t="n">
        <x:v>32900000</x:v>
      </x:c>
      <x:c r="V927" t="n">
        <x:v>2</x:v>
      </x:c>
      <x:c r="W927" t="n">
        <x:v>0</x:v>
      </x:c>
    </x:row>
    <x:row r="928">
      <x:c r="J928" t="n">
        <x:v>1398</x:v>
      </x:c>
      <x:c r="K928" t="str">
        <x:v>Burn After Reading</x:v>
      </x:c>
      <x:c r="L928" t="n">
        <x:v>39687</x:v>
      </x:c>
      <x:c r="M928" t="n">
        <x:v>96</x:v>
      </x:c>
      <x:c r="N928" t="str">
        <x:v>Comedy</x:v>
      </x:c>
      <x:c r="O928" t="str">
        <x:v>Joel Coen</x:v>
      </x:c>
      <x:c r="P928" t="str">
        <x:v>StudioCanal</x:v>
      </x:c>
      <x:c r="Q928" t="str">
        <x:v>United States</x:v>
      </x:c>
      <x:c r="R928" t="str">
        <x:v>English</x:v>
      </x:c>
      <x:c r="S928" t="n">
        <x:v>15</x:v>
      </x:c>
      <x:c r="T928"/>
      <x:c r="U928"/>
      <x:c r="V928" t="n">
        <x:v>0</x:v>
      </x:c>
      <x:c r="W928" t="n">
        <x:v>0</x:v>
      </x:c>
    </x:row>
    <x:row r="929">
      <x:c r="J929" t="n">
        <x:v>1399</x:v>
      </x:c>
      <x:c r="K929" t="str">
        <x:v>No Country for Old Men</x:v>
      </x:c>
      <x:c r="L929" t="n">
        <x:v>39221</x:v>
      </x:c>
      <x:c r="M929" t="n">
        <x:v>122</x:v>
      </x:c>
      <x:c r="N929" t="str">
        <x:v>Crime</x:v>
      </x:c>
      <x:c r="O929" t="str">
        <x:v>Joel Coen</x:v>
      </x:c>
      <x:c r="P929" t="str">
        <x:v>Miramax Films</x:v>
      </x:c>
      <x:c r="Q929" t="str">
        <x:v>NULL</x:v>
      </x:c>
      <x:c r="R929" t="str">
        <x:v>English</x:v>
      </x:c>
      <x:c r="S929" t="n">
        <x:v>15</x:v>
      </x:c>
      <x:c r="T929" t="n">
        <x:v>25000000</x:v>
      </x:c>
      <x:c r="U929" t="n">
        <x:v>171600000</x:v>
      </x:c>
      <x:c r="V929" t="n">
        <x:v>8</x:v>
      </x:c>
      <x:c r="W929" t="n">
        <x:v>4</x:v>
      </x:c>
    </x:row>
    <x:row r="930">
      <x:c r="J930" t="n">
        <x:v>1400</x:v>
      </x:c>
      <x:c r="K930" t="str">
        <x:v>The Ladykillers</x:v>
      </x:c>
      <x:c r="L930" t="n">
        <x:v>38072</x:v>
      </x:c>
      <x:c r="M930" t="n">
        <x:v>104</x:v>
      </x:c>
      <x:c r="N930" t="str">
        <x:v>Comedy</x:v>
      </x:c>
      <x:c r="O930" t="str">
        <x:v>Joel Coen</x:v>
      </x:c>
      <x:c r="P930" t="str">
        <x:v>Touchstone Pictures</x:v>
      </x:c>
      <x:c r="Q930" t="str">
        <x:v>United States</x:v>
      </x:c>
      <x:c r="R930" t="str">
        <x:v>English</x:v>
      </x:c>
      <x:c r="S930" t="n">
        <x:v>15</x:v>
      </x:c>
      <x:c r="T930" t="n">
        <x:v>35000000</x:v>
      </x:c>
      <x:c r="U930" t="n">
        <x:v>76700000</x:v>
      </x:c>
      <x:c r="V930" t="n">
        <x:v>0</x:v>
      </x:c>
      <x:c r="W930" t="n">
        <x:v>0</x:v>
      </x:c>
    </x:row>
    <x:row r="931">
      <x:c r="J931" t="n">
        <x:v>1401</x:v>
      </x:c>
      <x:c r="K931" t="str">
        <x:v>The Ladykillers</x:v>
      </x:c>
      <x:c r="L931" t="n">
        <x:v>20431</x:v>
      </x:c>
      <x:c r="M931" t="n">
        <x:v>97</x:v>
      </x:c>
      <x:c r="N931" t="str">
        <x:v>Comedy</x:v>
      </x:c>
      <x:c r="O931" t="str">
        <x:v>Alexander Mackendrick</x:v>
      </x:c>
      <x:c r="P931" t="str">
        <x:v>Ealing Studios</x:v>
      </x:c>
      <x:c r="Q931" t="str">
        <x:v>United Kingdom</x:v>
      </x:c>
      <x:c r="R931" t="str">
        <x:v>English</x:v>
      </x:c>
      <x:c r="S931" t="str">
        <x:v>U</x:v>
      </x:c>
      <x:c r="T931"/>
      <x:c r="U931"/>
      <x:c r="V931" t="n">
        <x:v>1</x:v>
      </x:c>
      <x:c r="W931" t="n">
        <x:v>0</x:v>
      </x:c>
    </x:row>
    <x:row r="932">
      <x:c r="J932" t="n">
        <x:v>1402</x:v>
      </x:c>
      <x:c r="K932" t="str">
        <x:v>The Big Lebowski</x:v>
      </x:c>
      <x:c r="L932" t="n">
        <x:v>35860</x:v>
      </x:c>
      <x:c r="M932" t="n">
        <x:v>117</x:v>
      </x:c>
      <x:c r="N932" t="str">
        <x:v>Comedy</x:v>
      </x:c>
      <x:c r="O932" t="str">
        <x:v>Joel Coen</x:v>
      </x:c>
      <x:c r="P932" t="str">
        <x:v>Polygram Filmed Entertainment</x:v>
      </x:c>
      <x:c r="Q932" t="str">
        <x:v>United States</x:v>
      </x:c>
      <x:c r="R932" t="str">
        <x:v>English</x:v>
      </x:c>
      <x:c r="S932" t="n">
        <x:v>18</x:v>
      </x:c>
      <x:c r="T932" t="n">
        <x:v>15000000</x:v>
      </x:c>
      <x:c r="U932" t="n">
        <x:v>46200000</x:v>
      </x:c>
      <x:c r="V932" t="n">
        <x:v>0</x:v>
      </x:c>
      <x:c r="W932" t="n">
        <x:v>0</x:v>
      </x:c>
    </x:row>
    <x:row r="933">
      <x:c r="J933" t="n">
        <x:v>1403</x:v>
      </x:c>
      <x:c r="K933" t="str">
        <x:v>Miller's Crossing</x:v>
      </x:c>
      <x:c r="L933" t="n">
        <x:v>33137</x:v>
      </x:c>
      <x:c r="M933" t="n">
        <x:v>115</x:v>
      </x:c>
      <x:c r="N933" t="str">
        <x:v>Crime</x:v>
      </x:c>
      <x:c r="O933" t="str">
        <x:v>Joel Coen</x:v>
      </x:c>
      <x:c r="P933" t="str">
        <x:v>20th Century Fox</x:v>
      </x:c>
      <x:c r="Q933" t="str">
        <x:v>United States</x:v>
      </x:c>
      <x:c r="R933" t="str">
        <x:v>English</x:v>
      </x:c>
      <x:c r="S933" t="n">
        <x:v>18</x:v>
      </x:c>
      <x:c r="T933" t="n">
        <x:v>14000000</x:v>
      </x:c>
      <x:c r="U933" t="n">
        <x:v>5080000</x:v>
      </x:c>
      <x:c r="V933" t="n">
        <x:v>0</x:v>
      </x:c>
      <x:c r="W933" t="n">
        <x:v>0</x:v>
      </x:c>
    </x:row>
    <x:row r="934">
      <x:c r="J934" t="n">
        <x:v>1404</x:v>
      </x:c>
      <x:c r="K934" t="str">
        <x:v>Outland</x:v>
      </x:c>
      <x:c r="L934" t="n">
        <x:v>29728</x:v>
      </x:c>
      <x:c r="M934" t="n">
        <x:v>109</x:v>
      </x:c>
      <x:c r="N934" t="str">
        <x:v>Science Fiction</x:v>
      </x:c>
      <x:c r="O934" t="str">
        <x:v>Peter Hyams</x:v>
      </x:c>
      <x:c r="P934" t="str">
        <x:v>The Ladd Company</x:v>
      </x:c>
      <x:c r="Q934" t="str">
        <x:v>United Kingdom</x:v>
      </x:c>
      <x:c r="R934" t="str">
        <x:v>English</x:v>
      </x:c>
      <x:c r="S934" t="n">
        <x:v>15</x:v>
      </x:c>
      <x:c r="T934" t="n">
        <x:v>16000000</x:v>
      </x:c>
      <x:c r="U934" t="n">
        <x:v>20000000</x:v>
      </x:c>
      <x:c r="V934" t="n">
        <x:v>1</x:v>
      </x:c>
      <x:c r="W934" t="n">
        <x:v>0</x:v>
      </x:c>
    </x:row>
    <x:row r="935">
      <x:c r="J935" t="n">
        <x:v>1405</x:v>
      </x:c>
      <x:c r="K935" t="str">
        <x:v>Outlander</x:v>
      </x:c>
      <x:c r="L935" t="n">
        <x:v>39640</x:v>
      </x:c>
      <x:c r="M935" t="n">
        <x:v>115</x:v>
      </x:c>
      <x:c r="N935" t="str">
        <x:v>Science Fiction</x:v>
      </x:c>
      <x:c r="O935" t="str">
        <x:v>Howard McCain</x:v>
      </x:c>
      <x:c r="P935" t="str">
        <x:v>Virtual Studios</x:v>
      </x:c>
      <x:c r="Q935" t="str">
        <x:v>United States</x:v>
      </x:c>
      <x:c r="R935" t="str">
        <x:v>English</x:v>
      </x:c>
      <x:c r="S935" t="n">
        <x:v>15</x:v>
      </x:c>
      <x:c r="T935" t="n">
        <x:v>47000000</x:v>
      </x:c>
      <x:c r="U935" t="n">
        <x:v>7033000</x:v>
      </x:c>
      <x:c r="V935" t="n">
        <x:v>0</x:v>
      </x:c>
      <x:c r="W935" t="n">
        <x:v>0</x:v>
      </x:c>
    </x:row>
    <x:row r="936">
      <x:c r="J936" t="n">
        <x:v>1406</x:v>
      </x:c>
      <x:c r="K936" t="str">
        <x:v>Timecop</x:v>
      </x:c>
      <x:c r="L936" t="n">
        <x:v>34593</x:v>
      </x:c>
      <x:c r="M936" t="n">
        <x:v>98</x:v>
      </x:c>
      <x:c r="N936" t="str">
        <x:v>Science Fiction</x:v>
      </x:c>
      <x:c r="O936" t="str">
        <x:v>Peter Hyams</x:v>
      </x:c>
      <x:c r="P936" t="str">
        <x:v>Dark Horse Entertainment</x:v>
      </x:c>
      <x:c r="Q936" t="str">
        <x:v>United States</x:v>
      </x:c>
      <x:c r="R936" t="str">
        <x:v>English</x:v>
      </x:c>
      <x:c r="S936" t="n">
        <x:v>18</x:v>
      </x:c>
      <x:c r="T936" t="n">
        <x:v>27000000</x:v>
      </x:c>
      <x:c r="U936" t="n">
        <x:v>101646581</x:v>
      </x:c>
      <x:c r="V936" t="n">
        <x:v>0</x:v>
      </x:c>
      <x:c r="W936" t="n">
        <x:v>0</x:v>
      </x:c>
    </x:row>
    <x:row r="937">
      <x:c r="J937" t="n">
        <x:v>1407</x:v>
      </x:c>
      <x:c r="K937" t="str">
        <x:v>Kung Fu Panda 3</x:v>
      </x:c>
      <x:c r="L937" t="n">
        <x:v>42392</x:v>
      </x:c>
      <x:c r="M937" t="n">
        <x:v>95</x:v>
      </x:c>
      <x:c r="N937" t="str">
        <x:v>Animation</x:v>
      </x:c>
      <x:c r="O937" t="str">
        <x:v>Jennifer Yuh Nelson</x:v>
      </x:c>
      <x:c r="P937" t="str">
        <x:v>Dreamworks</x:v>
      </x:c>
      <x:c r="Q937" t="str">
        <x:v>United States</x:v>
      </x:c>
      <x:c r="R937" t="str">
        <x:v>English</x:v>
      </x:c>
      <x:c r="S937" t="str">
        <x:v>PG</x:v>
      </x:c>
      <x:c r="T937" t="n">
        <x:v>145000000</x:v>
      </x:c>
      <x:c r="U937" t="n">
        <x:v>519900000</x:v>
      </x:c>
      <x:c r="V937" t="n">
        <x:v>0</x:v>
      </x:c>
      <x:c r="W937" t="n">
        <x:v>0</x:v>
      </x:c>
    </x:row>
    <x:row r="938">
      <x:c r="J938" t="n">
        <x:v>1408</x:v>
      </x:c>
      <x:c r="K938" t="str">
        <x:v>Universal Soldier</x:v>
      </x:c>
      <x:c r="L938" t="n">
        <x:v>33795</x:v>
      </x:c>
      <x:c r="M938" t="n">
        <x:v>102</x:v>
      </x:c>
      <x:c r="N938" t="str">
        <x:v>Science Fiction</x:v>
      </x:c>
      <x:c r="O938" t="str">
        <x:v>Roland Emmerich</x:v>
      </x:c>
      <x:c r="P938" t="str">
        <x:v>Carolco Pictures</x:v>
      </x:c>
      <x:c r="Q938" t="str">
        <x:v>United States</x:v>
      </x:c>
      <x:c r="R938" t="str">
        <x:v>English</x:v>
      </x:c>
      <x:c r="S938" t="n">
        <x:v>18</x:v>
      </x:c>
      <x:c r="T938" t="n">
        <x:v>23000000</x:v>
      </x:c>
      <x:c r="U938" t="n">
        <x:v>36300000</x:v>
      </x:c>
      <x:c r="V938" t="n">
        <x:v>0</x:v>
      </x:c>
      <x:c r="W938" t="n">
        <x:v>0</x:v>
      </x:c>
    </x:row>
    <x:row r="939">
      <x:c r="J939" t="n">
        <x:v>1409</x:v>
      </x:c>
      <x:c r="K939" t="str">
        <x:v>Double Impact</x:v>
      </x:c>
      <x:c r="L939" t="n">
        <x:v>33459</x:v>
      </x:c>
      <x:c r="M939" t="n">
        <x:v>107</x:v>
      </x:c>
      <x:c r="N939" t="str">
        <x:v>Action</x:v>
      </x:c>
      <x:c r="O939" t="str">
        <x:v>Sheldon Lettich</x:v>
      </x:c>
      <x:c r="P939" t="str">
        <x:v>Columbia Pictures</x:v>
      </x:c>
      <x:c r="Q939" t="str">
        <x:v>United States</x:v>
      </x:c>
      <x:c r="R939" t="str">
        <x:v>English</x:v>
      </x:c>
      <x:c r="S939" t="n">
        <x:v>18</x:v>
      </x:c>
      <x:c r="T939" t="n">
        <x:v>18000000</x:v>
      </x:c>
      <x:c r="U939" t="n">
        <x:v>80500000</x:v>
      </x:c>
      <x:c r="V939" t="n">
        <x:v>0</x:v>
      </x:c>
      <x:c r="W939" t="n">
        <x:v>0</x:v>
      </x:c>
    </x:row>
    <x:row r="940">
      <x:c r="J940" t="n">
        <x:v>1410</x:v>
      </x:c>
      <x:c r="K940" t="str">
        <x:v>Death Warrant</x:v>
      </x:c>
      <x:c r="L940" t="n">
        <x:v>33130</x:v>
      </x:c>
      <x:c r="M940" t="n">
        <x:v>89</x:v>
      </x:c>
      <x:c r="N940" t="str">
        <x:v>Action</x:v>
      </x:c>
      <x:c r="O940" t="str">
        <x:v>Deran Sarafian</x:v>
      </x:c>
      <x:c r="P940" t="str">
        <x:v>Pathe</x:v>
      </x:c>
      <x:c r="Q940" t="str">
        <x:v>United States</x:v>
      </x:c>
      <x:c r="R940" t="str">
        <x:v>English</x:v>
      </x:c>
      <x:c r="S940" t="n">
        <x:v>18</x:v>
      </x:c>
      <x:c r="T940" t="n">
        <x:v>6000000</x:v>
      </x:c>
      <x:c r="U940" t="n">
        <x:v>46700000</x:v>
      </x:c>
      <x:c r="V940" t="n">
        <x:v>0</x:v>
      </x:c>
      <x:c r="W940" t="n">
        <x:v>0</x:v>
      </x:c>
    </x:row>
    <x:row r="941">
      <x:c r="J941" t="n">
        <x:v>1411</x:v>
      </x:c>
      <x:c r="K941" t="str">
        <x:v>Kickboxer</x:v>
      </x:c>
      <x:c r="L941" t="n">
        <x:v>32759</x:v>
      </x:c>
      <x:c r="M941" t="n">
        <x:v>103</x:v>
      </x:c>
      <x:c r="N941" t="str">
        <x:v>Martial Arts</x:v>
      </x:c>
      <x:c r="O941" t="str">
        <x:v>Mark DiSalle</x:v>
      </x:c>
      <x:c r="P941" t="str">
        <x:v>Kings Road Entertainment</x:v>
      </x:c>
      <x:c r="Q941" t="str">
        <x:v>United States</x:v>
      </x:c>
      <x:c r="R941" t="str">
        <x:v>English</x:v>
      </x:c>
      <x:c r="S941" t="n">
        <x:v>18</x:v>
      </x:c>
      <x:c r="T941" t="n">
        <x:v>2700000</x:v>
      </x:c>
      <x:c r="U941" t="n">
        <x:v>14700000</x:v>
      </x:c>
      <x:c r="V941" t="n">
        <x:v>0</x:v>
      </x:c>
      <x:c r="W941" t="n">
        <x:v>0</x:v>
      </x:c>
    </x:row>
    <x:row r="942">
      <x:c r="J942" t="n">
        <x:v>1412</x:v>
      </x:c>
      <x:c r="K942" t="str">
        <x:v>Cyborg</x:v>
      </x:c>
      <x:c r="L942" t="n">
        <x:v>32605</x:v>
      </x:c>
      <x:c r="M942" t="n">
        <x:v>82</x:v>
      </x:c>
      <x:c r="N942" t="str">
        <x:v>Science Fiction</x:v>
      </x:c>
      <x:c r="O942" t="str">
        <x:v>Albert Pyun</x:v>
      </x:c>
      <x:c r="P942" t="str">
        <x:v>The Cannon Group</x:v>
      </x:c>
      <x:c r="Q942" t="str">
        <x:v>United States</x:v>
      </x:c>
      <x:c r="R942" t="str">
        <x:v>English</x:v>
      </x:c>
      <x:c r="S942" t="n">
        <x:v>18</x:v>
      </x:c>
      <x:c r="T942" t="n">
        <x:v>500000</x:v>
      </x:c>
      <x:c r="U942" t="n">
        <x:v>10200000</x:v>
      </x:c>
      <x:c r="V942" t="n">
        <x:v>0</x:v>
      </x:c>
      <x:c r="W942" t="n">
        <x:v>0</x:v>
      </x:c>
    </x:row>
    <x:row r="943">
      <x:c r="J943" t="n">
        <x:v>1413</x:v>
      </x:c>
      <x:c r="K943" t="str">
        <x:v>Bloodsport</x:v>
      </x:c>
      <x:c r="L943" t="n">
        <x:v>32199</x:v>
      </x:c>
      <x:c r="M943" t="n">
        <x:v>92</x:v>
      </x:c>
      <x:c r="N943" t="str">
        <x:v>Martial Arts</x:v>
      </x:c>
      <x:c r="O943" t="str">
        <x:v>Newt Arnold</x:v>
      </x:c>
      <x:c r="P943" t="str">
        <x:v>The Cannon Group</x:v>
      </x:c>
      <x:c r="Q943" t="str">
        <x:v>United States</x:v>
      </x:c>
      <x:c r="R943" t="str">
        <x:v>English</x:v>
      </x:c>
      <x:c r="S943" t="n">
        <x:v>18</x:v>
      </x:c>
      <x:c r="T943" t="n">
        <x:v>2300000</x:v>
      </x:c>
      <x:c r="U943" t="n">
        <x:v>65000000</x:v>
      </x:c>
      <x:c r="V943" t="n">
        <x:v>0</x:v>
      </x:c>
      <x:c r="W943" t="n">
        <x:v>0</x:v>
      </x:c>
    </x:row>
    <x:row r="944">
      <x:c r="J944" t="n">
        <x:v>1414</x:v>
      </x:c>
      <x:c r="K944" t="str">
        <x:v>Brooklyn's Finest</x:v>
      </x:c>
      <x:c r="L944" t="n">
        <x:v>39829</x:v>
      </x:c>
      <x:c r="M944" t="n">
        <x:v>132</x:v>
      </x:c>
      <x:c r="N944" t="str">
        <x:v>Crime</x:v>
      </x:c>
      <x:c r="O944" t="str">
        <x:v>Antoine Fuqua</x:v>
      </x:c>
      <x:c r="P944" t="str">
        <x:v>Millennium Films</x:v>
      </x:c>
      <x:c r="Q944" t="str">
        <x:v>United States</x:v>
      </x:c>
      <x:c r="R944" t="str">
        <x:v>English</x:v>
      </x:c>
      <x:c r="S944" t="n">
        <x:v>18</x:v>
      </x:c>
      <x:c r="T944" t="n">
        <x:v>17000000</x:v>
      </x:c>
      <x:c r="U944" t="n">
        <x:v>36400000</x:v>
      </x:c>
      <x:c r="V944" t="n">
        <x:v>0</x:v>
      </x:c>
      <x:c r="W944" t="n">
        <x:v>0</x:v>
      </x:c>
    </x:row>
    <x:row r="945">
      <x:c r="J945" t="n">
        <x:v>1415</x:v>
      </x:c>
      <x:c r="K945" t="str">
        <x:v>Full Metal Jacket</x:v>
      </x:c>
      <x:c r="L945" t="n">
        <x:v>31945</x:v>
      </x:c>
      <x:c r="M945" t="n">
        <x:v>116</x:v>
      </x:c>
      <x:c r="N945" t="str">
        <x:v>War</x:v>
      </x:c>
      <x:c r="O945" t="str">
        <x:v>Stanley Kubrick</x:v>
      </x:c>
      <x:c r="P945" t="str">
        <x:v>Stanley Kubrick Productions</x:v>
      </x:c>
      <x:c r="Q945" t="str">
        <x:v>United Kingdom</x:v>
      </x:c>
      <x:c r="R945" t="str">
        <x:v>English</x:v>
      </x:c>
      <x:c r="S945" t="n">
        <x:v>15</x:v>
      </x:c>
      <x:c r="T945" t="n">
        <x:v>30000000</x:v>
      </x:c>
      <x:c r="U945" t="n">
        <x:v>46400000</x:v>
      </x:c>
      <x:c r="V945" t="n">
        <x:v>1</x:v>
      </x:c>
      <x:c r="W945" t="n">
        <x:v>0</x:v>
      </x:c>
    </x:row>
    <x:row r="946">
      <x:c r="J946" t="n">
        <x:v>1416</x:v>
      </x:c>
      <x:c r="K946" t="str">
        <x:v>Eyes Wide Shut</x:v>
      </x:c>
      <x:c r="L946" t="n">
        <x:v>36357</x:v>
      </x:c>
      <x:c r="M946" t="n">
        <x:v>159</x:v>
      </x:c>
      <x:c r="N946" t="str">
        <x:v>Drama</x:v>
      </x:c>
      <x:c r="O946" t="str">
        <x:v>Stanley Kubrick</x:v>
      </x:c>
      <x:c r="P946" t="str">
        <x:v>Stanley Kubrick Productions</x:v>
      </x:c>
      <x:c r="Q946" t="str">
        <x:v>United Kingdom</x:v>
      </x:c>
      <x:c r="R946" t="str">
        <x:v>English</x:v>
      </x:c>
      <x:c r="S946" t="n">
        <x:v>18</x:v>
      </x:c>
      <x:c r="T946" t="n">
        <x:v>65000000</x:v>
      </x:c>
      <x:c r="U946" t="n">
        <x:v>162100000</x:v>
      </x:c>
      <x:c r="V946" t="n">
        <x:v>0</x:v>
      </x:c>
      <x:c r="W946" t="n">
        <x:v>0</x:v>
      </x:c>
    </x:row>
    <x:row r="947">
      <x:c r="J947" t="n">
        <x:v>1417</x:v>
      </x:c>
      <x:c r="K947" t="str">
        <x:v>The Shining</x:v>
      </x:c>
      <x:c r="L947" t="n">
        <x:v>29364</x:v>
      </x:c>
      <x:c r="M947" t="n">
        <x:v>146</x:v>
      </x:c>
      <x:c r="N947" t="str">
        <x:v>Horror</x:v>
      </x:c>
      <x:c r="O947" t="str">
        <x:v>Stanley Kubrick</x:v>
      </x:c>
      <x:c r="P947" t="str">
        <x:v>Hawk Films</x:v>
      </x:c>
      <x:c r="Q947" t="str">
        <x:v>United Kingdom</x:v>
      </x:c>
      <x:c r="R947" t="str">
        <x:v>English</x:v>
      </x:c>
      <x:c r="S947" t="n">
        <x:v>18</x:v>
      </x:c>
      <x:c r="T947" t="n">
        <x:v>19000000</x:v>
      </x:c>
      <x:c r="U947" t="n">
        <x:v>44400000</x:v>
      </x:c>
      <x:c r="V947" t="n">
        <x:v>0</x:v>
      </x:c>
      <x:c r="W947" t="n">
        <x:v>0</x:v>
      </x:c>
    </x:row>
    <x:row r="948">
      <x:c r="J948" t="n">
        <x:v>1418</x:v>
      </x:c>
      <x:c r="K948" t="str">
        <x:v>Dr. Strangelove or: How I Learned to Stop Worrying and Love the Bomb</x:v>
      </x:c>
      <x:c r="L948" t="n">
        <x:v>23405</x:v>
      </x:c>
      <x:c r="M948" t="n">
        <x:v>94</x:v>
      </x:c>
      <x:c r="N948" t="str">
        <x:v>Comedy</x:v>
      </x:c>
      <x:c r="O948" t="str">
        <x:v>Stanley Kubrick</x:v>
      </x:c>
      <x:c r="P948" t="str">
        <x:v>Hawk Films</x:v>
      </x:c>
      <x:c r="Q948" t="str">
        <x:v>United Kingdom</x:v>
      </x:c>
      <x:c r="R948" t="str">
        <x:v>English</x:v>
      </x:c>
      <x:c r="S948" t="str">
        <x:v>PG</x:v>
      </x:c>
      <x:c r="T948" t="n">
        <x:v>1800000</x:v>
      </x:c>
      <x:c r="U948" t="n">
        <x:v>9400000</x:v>
      </x:c>
      <x:c r="V948" t="n">
        <x:v>4</x:v>
      </x:c>
      <x:c r="W948" t="n">
        <x:v>0</x:v>
      </x:c>
    </x:row>
    <x:row r="949">
      <x:c r="J949" t="n">
        <x:v>1419</x:v>
      </x:c>
      <x:c r="K949" t="str">
        <x:v>Paths of Glory</x:v>
      </x:c>
      <x:c r="L949" t="n">
        <x:v>21179</x:v>
      </x:c>
      <x:c r="M949" t="n">
        <x:v>88</x:v>
      </x:c>
      <x:c r="N949" t="str">
        <x:v>War</x:v>
      </x:c>
      <x:c r="O949" t="str">
        <x:v>Stanley Kubrick</x:v>
      </x:c>
      <x:c r="P949" t="str">
        <x:v>Bryna Productions</x:v>
      </x:c>
      <x:c r="Q949" t="str">
        <x:v>United States</x:v>
      </x:c>
      <x:c r="R949" t="str">
        <x:v>English</x:v>
      </x:c>
      <x:c r="S949" t="str">
        <x:v>PG</x:v>
      </x:c>
      <x:c r="T949" t="n">
        <x:v>900000</x:v>
      </x:c>
      <x:c r="U949"/>
      <x:c r="V949" t="n">
        <x:v>0</x:v>
      </x:c>
      <x:c r="W949" t="n">
        <x:v>0</x:v>
      </x:c>
    </x:row>
    <x:row r="950">
      <x:c r="J950" t="n">
        <x:v>1420</x:v>
      </x:c>
      <x:c r="K950" t="str">
        <x:v>The Treasure of the Sierra Madre</x:v>
      </x:c>
      <x:c r="L950" t="n">
        <x:v>17538</x:v>
      </x:c>
      <x:c r="M950" t="n">
        <x:v>126</x:v>
      </x:c>
      <x:c r="N950" t="str">
        <x:v>Western</x:v>
      </x:c>
      <x:c r="O950" t="str">
        <x:v>John Huston</x:v>
      </x:c>
      <x:c r="P950" t="str">
        <x:v>Warner Bros. Pictures</x:v>
      </x:c>
      <x:c r="Q950" t="str">
        <x:v>United States</x:v>
      </x:c>
      <x:c r="R950" t="str">
        <x:v>English</x:v>
      </x:c>
      <x:c r="S950" t="str">
        <x:v>PG</x:v>
      </x:c>
      <x:c r="T950" t="n">
        <x:v>3000000</x:v>
      </x:c>
      <x:c r="U950" t="n">
        <x:v>4307000</x:v>
      </x:c>
      <x:c r="V950" t="n">
        <x:v>4</x:v>
      </x:c>
      <x:c r="W950" t="n">
        <x:v>3</x:v>
      </x:c>
    </x:row>
    <x:row r="951">
      <x:c r="J951" t="n">
        <x:v>1421</x:v>
      </x:c>
      <x:c r="K951" t="str">
        <x:v>Key Largo</x:v>
      </x:c>
      <x:c r="L951" t="n">
        <x:v>17730</x:v>
      </x:c>
      <x:c r="M951" t="n">
        <x:v>101</x:v>
      </x:c>
      <x:c r="N951" t="str">
        <x:v>Crime</x:v>
      </x:c>
      <x:c r="O951" t="str">
        <x:v>John Huston</x:v>
      </x:c>
      <x:c r="P951" t="str">
        <x:v>Warner Bros. Pictures</x:v>
      </x:c>
      <x:c r="Q951" t="str">
        <x:v>United States</x:v>
      </x:c>
      <x:c r="R951" t="str">
        <x:v>English</x:v>
      </x:c>
      <x:c r="S951" t="str">
        <x:v>PG</x:v>
      </x:c>
      <x:c r="T951"/>
      <x:c r="U951" t="n">
        <x:v>3250000</x:v>
      </x:c>
      <x:c r="V951" t="n">
        <x:v>1</x:v>
      </x:c>
      <x:c r="W951" t="n">
        <x:v>1</x:v>
      </x:c>
    </x:row>
    <x:row r="952">
      <x:c r="J952" t="n">
        <x:v>1422</x:v>
      </x:c>
      <x:c r="K952" t="str">
        <x:v>The Unforgiven</x:v>
      </x:c>
      <x:c r="L952" t="n">
        <x:v>22012</x:v>
      </x:c>
      <x:c r="M952" t="n">
        <x:v>125</x:v>
      </x:c>
      <x:c r="N952" t="str">
        <x:v>Western</x:v>
      </x:c>
      <x:c r="O952" t="str">
        <x:v>John Huston</x:v>
      </x:c>
      <x:c r="P952" t="str">
        <x:v>United Artists</x:v>
      </x:c>
      <x:c r="Q952" t="str">
        <x:v>United States</x:v>
      </x:c>
      <x:c r="R952" t="str">
        <x:v>English</x:v>
      </x:c>
      <x:c r="S952" t="str">
        <x:v>PG</x:v>
      </x:c>
      <x:c r="T952" t="n">
        <x:v>5000000</x:v>
      </x:c>
      <x:c r="U952" t="n">
        <x:v>3200000</x:v>
      </x:c>
      <x:c r="V952" t="n">
        <x:v>0</x:v>
      </x:c>
      <x:c r="W952" t="n">
        <x:v>0</x:v>
      </x:c>
    </x:row>
    <x:row r="953">
      <x:c r="J953" t="n">
        <x:v>1423</x:v>
      </x:c>
      <x:c r="K953" t="str">
        <x:v>Unforgiven</x:v>
      </x:c>
      <x:c r="L953" t="n">
        <x:v>33819</x:v>
      </x:c>
      <x:c r="M953" t="n">
        <x:v>131</x:v>
      </x:c>
      <x:c r="N953" t="str">
        <x:v>Western</x:v>
      </x:c>
      <x:c r="O953" t="str">
        <x:v>Clint Eastwood</x:v>
      </x:c>
      <x:c r="P953" t="str">
        <x:v>The Malpaso Company</x:v>
      </x:c>
      <x:c r="Q953" t="str">
        <x:v>United States</x:v>
      </x:c>
      <x:c r="R953" t="str">
        <x:v>English</x:v>
      </x:c>
      <x:c r="S953" t="n">
        <x:v>15</x:v>
      </x:c>
      <x:c r="T953" t="n">
        <x:v>14400000</x:v>
      </x:c>
      <x:c r="U953" t="n">
        <x:v>159200000</x:v>
      </x:c>
      <x:c r="V953" t="n">
        <x:v>9</x:v>
      </x:c>
      <x:c r="W953" t="n">
        <x:v>4</x:v>
      </x:c>
    </x:row>
    <x:row r="954">
      <x:c r="J954" t="n">
        <x:v>1424</x:v>
      </x:c>
      <x:c r="K954" t="str">
        <x:v>The Big Sleep</x:v>
      </x:c>
      <x:c r="L954" t="n">
        <x:v>17037</x:v>
      </x:c>
      <x:c r="M954" t="n">
        <x:v>116</x:v>
      </x:c>
      <x:c r="N954" t="str">
        <x:v>Crime</x:v>
      </x:c>
      <x:c r="O954" t="str">
        <x:v>Howard Hawks</x:v>
      </x:c>
      <x:c r="P954" t="str">
        <x:v>Warner Bros. Pictures</x:v>
      </x:c>
      <x:c r="Q954" t="str">
        <x:v>United States</x:v>
      </x:c>
      <x:c r="R954" t="str">
        <x:v>English</x:v>
      </x:c>
      <x:c r="S954" t="str">
        <x:v>PG</x:v>
      </x:c>
      <x:c r="T954"/>
      <x:c r="U954" t="n">
        <x:v>3000000</x:v>
      </x:c>
      <x:c r="V954" t="n">
        <x:v>0</x:v>
      </x:c>
      <x:c r="W954" t="n">
        <x:v>0</x:v>
      </x:c>
    </x:row>
    <x:row r="955">
      <x:c r="J955" t="n">
        <x:v>1425</x:v>
      </x:c>
      <x:c r="K955" t="str">
        <x:v>A Fistful of Dynamite</x:v>
      </x:c>
      <x:c r="L955" t="n">
        <x:v>26235</x:v>
      </x:c>
      <x:c r="M955" t="n">
        <x:v>157</x:v>
      </x:c>
      <x:c r="N955" t="str">
        <x:v>Western</x:v>
      </x:c>
      <x:c r="O955" t="str">
        <x:v>Sergio Leone</x:v>
      </x:c>
      <x:c r="P955" t="str">
        <x:v>United Artists</x:v>
      </x:c>
      <x:c r="Q955" t="str">
        <x:v>Italy</x:v>
      </x:c>
      <x:c r="R955" t="str">
        <x:v>Italian</x:v>
      </x:c>
      <x:c r="S955" t="n">
        <x:v>15</x:v>
      </x:c>
      <x:c r="T955"/>
      <x:c r="U955"/>
      <x:c r="V955" t="n">
        <x:v>0</x:v>
      </x:c>
      <x:c r="W955" t="n">
        <x:v>0</x:v>
      </x:c>
    </x:row>
    <x:row r="956">
      <x:c r="J956" t="n">
        <x:v>1426</x:v>
      </x:c>
      <x:c r="K956" t="str">
        <x:v>To Have and Have Not</x:v>
      </x:c>
      <x:c r="L956" t="n">
        <x:v>16356</x:v>
      </x:c>
      <x:c r="M956" t="n">
        <x:v>100</x:v>
      </x:c>
      <x:c r="N956" t="str">
        <x:v>Romance</x:v>
      </x:c>
      <x:c r="O956" t="str">
        <x:v>Howard Hawks</x:v>
      </x:c>
      <x:c r="P956" t="str">
        <x:v>Warner Bros. Pictures</x:v>
      </x:c>
      <x:c r="Q956" t="str">
        <x:v>United States</x:v>
      </x:c>
      <x:c r="R956" t="str">
        <x:v>English</x:v>
      </x:c>
      <x:c r="S956" t="str">
        <x:v>PG</x:v>
      </x:c>
      <x:c r="T956"/>
      <x:c r="U956" t="n">
        <x:v>3650000</x:v>
      </x:c>
      <x:c r="V956" t="n">
        <x:v>0</x:v>
      </x:c>
      <x:c r="W956" t="n">
        <x:v>0</x:v>
      </x:c>
    </x:row>
    <x:row r="957">
      <x:c r="J957" t="n">
        <x:v>1427</x:v>
      </x:c>
      <x:c r="K957" t="str">
        <x:v>Murder on the Orient Express</x:v>
      </x:c>
      <x:c r="L957" t="n">
        <x:v>27357</x:v>
      </x:c>
      <x:c r="M957" t="n">
        <x:v>131</x:v>
      </x:c>
      <x:c r="N957" t="str">
        <x:v>Crime</x:v>
      </x:c>
      <x:c r="O957" t="str">
        <x:v>Sidney Lumet</x:v>
      </x:c>
      <x:c r="P957" t="str">
        <x:v>EMI Films</x:v>
      </x:c>
      <x:c r="Q957" t="str">
        <x:v>United Kingdom</x:v>
      </x:c>
      <x:c r="R957" t="str">
        <x:v>English</x:v>
      </x:c>
      <x:c r="S957" t="str">
        <x:v>PG</x:v>
      </x:c>
      <x:c r="T957" t="n">
        <x:v>2500000</x:v>
      </x:c>
      <x:c r="U957" t="n">
        <x:v>30000000</x:v>
      </x:c>
      <x:c r="V957" t="n">
        <x:v>6</x:v>
      </x:c>
      <x:c r="W957" t="n">
        <x:v>1</x:v>
      </x:c>
    </x:row>
    <x:row r="958">
      <x:c r="J958" t="n">
        <x:v>1428</x:v>
      </x:c>
      <x:c r="K958" t="str">
        <x:v>The Shootist</x:v>
      </x:c>
      <x:c r="L958" t="n">
        <x:v>27992</x:v>
      </x:c>
      <x:c r="M958" t="n">
        <x:v>100</x:v>
      </x:c>
      <x:c r="N958" t="str">
        <x:v>Western</x:v>
      </x:c>
      <x:c r="O958" t="str">
        <x:v>Don Siegel</x:v>
      </x:c>
      <x:c r="P958" t="str">
        <x:v>Dino De Laurentiis Corporation</x:v>
      </x:c>
      <x:c r="Q958" t="str">
        <x:v>United States</x:v>
      </x:c>
      <x:c r="R958" t="str">
        <x:v>English</x:v>
      </x:c>
      <x:c r="S958" t="str">
        <x:v>PG</x:v>
      </x:c>
      <x:c r="T958"/>
      <x:c r="U958" t="n">
        <x:v>13406000</x:v>
      </x:c>
      <x:c r="V958" t="n">
        <x:v>1</x:v>
      </x:c>
      <x:c r="W958" t="n">
        <x:v>0</x:v>
      </x:c>
    </x:row>
    <x:row r="959">
      <x:c r="J959" t="n">
        <x:v>1429</x:v>
      </x:c>
      <x:c r="K959" t="str">
        <x:v>Flash Gordon</x:v>
      </x:c>
      <x:c r="L959" t="n">
        <x:v>29560</x:v>
      </x:c>
      <x:c r="M959" t="n">
        <x:v>114</x:v>
      </x:c>
      <x:c r="N959" t="str">
        <x:v>Science Fiction</x:v>
      </x:c>
      <x:c r="O959" t="str">
        <x:v>Mike Hodges</x:v>
      </x:c>
      <x:c r="P959" t="str">
        <x:v>Dino De Laurentiis Corporation</x:v>
      </x:c>
      <x:c r="Q959" t="str">
        <x:v>United Kingdom</x:v>
      </x:c>
      <x:c r="R959" t="str">
        <x:v>English</x:v>
      </x:c>
      <x:c r="S959" t="str">
        <x:v>PG</x:v>
      </x:c>
      <x:c r="T959" t="n">
        <x:v>20000000</x:v>
      </x:c>
      <x:c r="U959" t="n">
        <x:v>27100000</x:v>
      </x:c>
      <x:c r="V959" t="n">
        <x:v>0</x:v>
      </x:c>
      <x:c r="W959" t="n">
        <x:v>0</x:v>
      </x:c>
    </x:row>
    <x:row r="960">
      <x:c r="J960" t="n">
        <x:v>1430</x:v>
      </x:c>
      <x:c r="K960" t="str">
        <x:v>Unforgiven</x:v>
      </x:c>
      <x:c r="L960" t="n">
        <x:v>41523</x:v>
      </x:c>
      <x:c r="M960" t="n">
        <x:v>135</x:v>
      </x:c>
      <x:c r="N960" t="str">
        <x:v>Western</x:v>
      </x:c>
      <x:c r="O960" t="str">
        <x:v>Lee Sang-il</x:v>
      </x:c>
      <x:c r="P960" t="str">
        <x:v>Nikkatsu</x:v>
      </x:c>
      <x:c r="Q960" t="str">
        <x:v>Japan</x:v>
      </x:c>
      <x:c r="R960" t="str">
        <x:v>Japanese</x:v>
      </x:c>
      <x:c r="S960" t="n">
        <x:v>15</x:v>
      </x:c>
      <x:c r="T960"/>
      <x:c r="U960"/>
      <x:c r="V960" t="n">
        <x:v>0</x:v>
      </x:c>
      <x:c r="W960" t="n">
        <x:v>0</x:v>
      </x:c>
    </x:row>
    <x:row r="961">
      <x:c r="J961" t="n">
        <x:v>1431</x:v>
      </x:c>
      <x:c r="K961" t="str">
        <x:v>Hang 'Em High</x:v>
      </x:c>
      <x:c r="L961" t="n">
        <x:v>25053</x:v>
      </x:c>
      <x:c r="M961" t="n">
        <x:v>114</x:v>
      </x:c>
      <x:c r="N961" t="str">
        <x:v>Western</x:v>
      </x:c>
      <x:c r="O961" t="str">
        <x:v>Ted Post</x:v>
      </x:c>
      <x:c r="P961" t="str">
        <x:v>The Malpaso Company</x:v>
      </x:c>
      <x:c r="Q961" t="str">
        <x:v>United States</x:v>
      </x:c>
      <x:c r="R961" t="str">
        <x:v>English</x:v>
      </x:c>
      <x:c r="S961" t="n">
        <x:v>18</x:v>
      </x:c>
      <x:c r="T961" t="n">
        <x:v>1600000</x:v>
      </x:c>
      <x:c r="U961" t="n">
        <x:v>6800000</x:v>
      </x:c>
      <x:c r="V961" t="n">
        <x:v>0</x:v>
      </x:c>
      <x:c r="W961" t="n">
        <x:v>0</x:v>
      </x:c>
    </x:row>
    <x:row r="962">
      <x:c r="J962" t="n">
        <x:v>1432</x:v>
      </x:c>
      <x:c r="K962" t="str">
        <x:v>Coogan's Bluff</x:v>
      </x:c>
      <x:c r="L962" t="n">
        <x:v>25113</x:v>
      </x:c>
      <x:c r="M962" t="n">
        <x:v>93</x:v>
      </x:c>
      <x:c r="N962" t="str">
        <x:v>Action</x:v>
      </x:c>
      <x:c r="O962" t="str">
        <x:v>Don Siegel</x:v>
      </x:c>
      <x:c r="P962" t="str">
        <x:v>The Malpaso Company</x:v>
      </x:c>
      <x:c r="Q962" t="str">
        <x:v>United States</x:v>
      </x:c>
      <x:c r="R962" t="str">
        <x:v>English</x:v>
      </x:c>
      <x:c r="S962" t="n">
        <x:v>15</x:v>
      </x:c>
      <x:c r="T962" t="n">
        <x:v>1500000</x:v>
      </x:c>
      <x:c r="U962" t="n">
        <x:v>3110000</x:v>
      </x:c>
      <x:c r="V962" t="n">
        <x:v>0</x:v>
      </x:c>
      <x:c r="W962" t="n">
        <x:v>0</x:v>
      </x:c>
    </x:row>
    <x:row r="963">
      <x:c r="J963" t="n">
        <x:v>1433</x:v>
      </x:c>
      <x:c r="K963" t="str">
        <x:v>Where Eagles Dare</x:v>
      </x:c>
      <x:c r="L963" t="n">
        <x:v>25176</x:v>
      </x:c>
      <x:c r="M963" t="n">
        <x:v>155</x:v>
      </x:c>
      <x:c r="N963" t="str">
        <x:v>War</x:v>
      </x:c>
      <x:c r="O963" t="str">
        <x:v>Brian G. Hutton</x:v>
      </x:c>
      <x:c r="P963" t="str">
        <x:v>Metro-Goldwyn-Mayer</x:v>
      </x:c>
      <x:c r="Q963" t="str">
        <x:v>United Kingdom</x:v>
      </x:c>
      <x:c r="R963" t="str">
        <x:v>English</x:v>
      </x:c>
      <x:c r="S963" t="str">
        <x:v>PG</x:v>
      </x:c>
      <x:c r="T963" t="n">
        <x:v>7700000</x:v>
      </x:c>
      <x:c r="U963" t="n">
        <x:v>21000000</x:v>
      </x:c>
      <x:c r="V963" t="n">
        <x:v>0</x:v>
      </x:c>
      <x:c r="W963" t="n">
        <x:v>0</x:v>
      </x:c>
    </x:row>
    <x:row r="964">
      <x:c r="J964" t="n">
        <x:v>1434</x:v>
      </x:c>
      <x:c r="K964" t="str">
        <x:v>Kelly's Heroes</x:v>
      </x:c>
      <x:c r="L964" t="n">
        <x:v>25742</x:v>
      </x:c>
      <x:c r="M964" t="n">
        <x:v>146</x:v>
      </x:c>
      <x:c r="N964" t="str">
        <x:v>War</x:v>
      </x:c>
      <x:c r="O964" t="str">
        <x:v>Brian G. Hutton</x:v>
      </x:c>
      <x:c r="P964" t="str">
        <x:v>Metro-Goldwyn-Mayer</x:v>
      </x:c>
      <x:c r="Q964" t="str">
        <x:v>United States</x:v>
      </x:c>
      <x:c r="R964" t="str">
        <x:v>English</x:v>
      </x:c>
      <x:c r="S964" t="str">
        <x:v>PG</x:v>
      </x:c>
      <x:c r="T964" t="n">
        <x:v>4000000</x:v>
      </x:c>
      <x:c r="U964" t="n">
        <x:v>5200000</x:v>
      </x:c>
      <x:c r="V964" t="n">
        <x:v>0</x:v>
      </x:c>
      <x:c r="W964" t="n">
        <x:v>0</x:v>
      </x:c>
    </x:row>
    <x:row r="965">
      <x:c r="J965" t="n">
        <x:v>1436</x:v>
      </x:c>
      <x:c r="K965" t="str">
        <x:v>The Outlaw Josey Wales</x:v>
      </x:c>
      <x:c r="L965" t="n">
        <x:v>27941</x:v>
      </x:c>
      <x:c r="M965" t="n">
        <x:v>135</x:v>
      </x:c>
      <x:c r="N965" t="str">
        <x:v>Western</x:v>
      </x:c>
      <x:c r="O965" t="str">
        <x:v>Clint Eastwood</x:v>
      </x:c>
      <x:c r="P965" t="str">
        <x:v>The Malpaso Company</x:v>
      </x:c>
      <x:c r="Q965" t="str">
        <x:v>United States</x:v>
      </x:c>
      <x:c r="R965" t="str">
        <x:v>English</x:v>
      </x:c>
      <x:c r="S965" t="n">
        <x:v>18</x:v>
      </x:c>
      <x:c r="T965" t="n">
        <x:v>3700000</x:v>
      </x:c>
      <x:c r="U965" t="n">
        <x:v>31800000</x:v>
      </x:c>
      <x:c r="V965" t="n">
        <x:v>1</x:v>
      </x:c>
      <x:c r="W965" t="n">
        <x:v>0</x:v>
      </x:c>
    </x:row>
    <x:row r="966">
      <x:c r="J966" t="n">
        <x:v>1437</x:v>
      </x:c>
      <x:c r="K966" t="str">
        <x:v>Heartbreak Ridge</x:v>
      </x:c>
      <x:c r="L966" t="n">
        <x:v>31751</x:v>
      </x:c>
      <x:c r="M966" t="n">
        <x:v>130</x:v>
      </x:c>
      <x:c r="N966" t="str">
        <x:v>War</x:v>
      </x:c>
      <x:c r="O966" t="str">
        <x:v>Clint Eastwood</x:v>
      </x:c>
      <x:c r="P966" t="str">
        <x:v>The Malpaso Company</x:v>
      </x:c>
      <x:c r="Q966" t="str">
        <x:v>United States</x:v>
      </x:c>
      <x:c r="R966" t="str">
        <x:v>English</x:v>
      </x:c>
      <x:c r="S966" t="n">
        <x:v>15</x:v>
      </x:c>
      <x:c r="T966" t="n">
        <x:v>15000000</x:v>
      </x:c>
      <x:c r="U966" t="n">
        <x:v>121700000</x:v>
      </x:c>
      <x:c r="V966" t="n">
        <x:v>1</x:v>
      </x:c>
      <x:c r="W966" t="n">
        <x:v>0</x:v>
      </x:c>
    </x:row>
    <x:row r="967">
      <x:c r="J967" t="n">
        <x:v>1438</x:v>
      </x:c>
      <x:c r="K967" t="str">
        <x:v>The Dead Pool</x:v>
      </x:c>
      <x:c r="L967" t="n">
        <x:v>32337</x:v>
      </x:c>
      <x:c r="M967" t="n">
        <x:v>91</x:v>
      </x:c>
      <x:c r="N967" t="str">
        <x:v>Thriller</x:v>
      </x:c>
      <x:c r="O967" t="str">
        <x:v>Buddy Van Horn</x:v>
      </x:c>
      <x:c r="P967" t="str">
        <x:v>The Malpaso Company</x:v>
      </x:c>
      <x:c r="Q967" t="str">
        <x:v>United States</x:v>
      </x:c>
      <x:c r="R967" t="str">
        <x:v>English</x:v>
      </x:c>
      <x:c r="S967" t="n">
        <x:v>18</x:v>
      </x:c>
      <x:c r="T967" t="n">
        <x:v>31000000</x:v>
      </x:c>
      <x:c r="U967" t="n">
        <x:v>37903000</x:v>
      </x:c>
      <x:c r="V967" t="n">
        <x:v>0</x:v>
      </x:c>
      <x:c r="W967" t="n">
        <x:v>0</x:v>
      </x:c>
    </x:row>
    <x:row r="968">
      <x:c r="J968" t="n">
        <x:v>1439</x:v>
      </x:c>
      <x:c r="K968" t="str">
        <x:v>Space Cowboys</x:v>
      </x:c>
      <x:c r="L968" t="n">
        <x:v>36739</x:v>
      </x:c>
      <x:c r="M968" t="n">
        <x:v>130</x:v>
      </x:c>
      <x:c r="N968" t="str">
        <x:v>Thriller</x:v>
      </x:c>
      <x:c r="O968" t="str">
        <x:v>Clint Eastwood</x:v>
      </x:c>
      <x:c r="P968" t="str">
        <x:v>The Malpaso Company</x:v>
      </x:c>
      <x:c r="Q968" t="str">
        <x:v>United States</x:v>
      </x:c>
      <x:c r="R968" t="str">
        <x:v>English</x:v>
      </x:c>
      <x:c r="S968" t="str">
        <x:v>PG</x:v>
      </x:c>
      <x:c r="T968" t="n">
        <x:v>60000000</x:v>
      </x:c>
      <x:c r="U968" t="n">
        <x:v>128900000</x:v>
      </x:c>
      <x:c r="V968" t="n">
        <x:v>1</x:v>
      </x:c>
      <x:c r="W968" t="n">
        <x:v>0</x:v>
      </x:c>
    </x:row>
    <x:row r="969">
      <x:c r="J969" t="n">
        <x:v>1440</x:v>
      </x:c>
      <x:c r="K969" t="str">
        <x:v>Gran Torino</x:v>
      </x:c>
      <x:c r="L969" t="n">
        <x:v>39794</x:v>
      </x:c>
      <x:c r="M969" t="n">
        <x:v>116</x:v>
      </x:c>
      <x:c r="N969" t="str">
        <x:v>Drama</x:v>
      </x:c>
      <x:c r="O969" t="str">
        <x:v>Clint Eastwood</x:v>
      </x:c>
      <x:c r="P969" t="str">
        <x:v>The Malpaso Company</x:v>
      </x:c>
      <x:c r="Q969" t="str">
        <x:v>United States</x:v>
      </x:c>
      <x:c r="R969" t="str">
        <x:v>English</x:v>
      </x:c>
      <x:c r="S969" t="n">
        <x:v>15</x:v>
      </x:c>
      <x:c r="T969" t="n">
        <x:v>33000000</x:v>
      </x:c>
      <x:c r="U969" t="n">
        <x:v>270000000</x:v>
      </x:c>
      <x:c r="V969" t="n">
        <x:v>0</x:v>
      </x:c>
      <x:c r="W969" t="n">
        <x:v>0</x:v>
      </x:c>
    </x:row>
    <x:row r="970">
      <x:c r="J970" t="n">
        <x:v>1441</x:v>
      </x:c>
      <x:c r="K970" t="str">
        <x:v>Invictus</x:v>
      </x:c>
      <x:c r="L970" t="n">
        <x:v>40158</x:v>
      </x:c>
      <x:c r="M970" t="n">
        <x:v>133</x:v>
      </x:c>
      <x:c r="N970" t="str">
        <x:v>Sport</x:v>
      </x:c>
      <x:c r="O970" t="str">
        <x:v>Clint Eastwood</x:v>
      </x:c>
      <x:c r="P970" t="str">
        <x:v>The Malpaso Company</x:v>
      </x:c>
      <x:c r="Q970" t="str">
        <x:v>United States</x:v>
      </x:c>
      <x:c r="R970" t="str">
        <x:v>English</x:v>
      </x:c>
      <x:c r="S970" t="str">
        <x:v>12A</x:v>
      </x:c>
      <x:c r="T970" t="n">
        <x:v>60000000</x:v>
      </x:c>
      <x:c r="U970" t="n">
        <x:v>122200000</x:v>
      </x:c>
      <x:c r="V970" t="n">
        <x:v>0</x:v>
      </x:c>
      <x:c r="W970" t="n">
        <x:v>0</x:v>
      </x:c>
    </x:row>
    <x:row r="971">
      <x:c r="J971" t="n">
        <x:v>1442</x:v>
      </x:c>
      <x:c r="K971" t="str">
        <x:v>American Sniper</x:v>
      </x:c>
      <x:c r="L971" t="n">
        <x:v>41954</x:v>
      </x:c>
      <x:c r="M971" t="n">
        <x:v>132</x:v>
      </x:c>
      <x:c r="N971" t="str">
        <x:v>Biography</x:v>
      </x:c>
      <x:c r="O971" t="str">
        <x:v>Clint Eastwood</x:v>
      </x:c>
      <x:c r="P971" t="str">
        <x:v>Village Roadshow Pictures</x:v>
      </x:c>
      <x:c r="Q971" t="str">
        <x:v>United States</x:v>
      </x:c>
      <x:c r="R971" t="str">
        <x:v>English</x:v>
      </x:c>
      <x:c r="S971" t="n">
        <x:v>15</x:v>
      </x:c>
      <x:c r="T971" t="n">
        <x:v>58800000</x:v>
      </x:c>
      <x:c r="U971" t="n">
        <x:v>547400000</x:v>
      </x:c>
      <x:c r="V971" t="n">
        <x:v>6</x:v>
      </x:c>
      <x:c r="W971" t="n">
        <x:v>1</x:v>
      </x:c>
    </x:row>
    <x:row r="972">
      <x:c r="J972" t="n">
        <x:v>1443</x:v>
      </x:c>
      <x:c r="K972" t="str">
        <x:v>Sully</x:v>
      </x:c>
      <x:c r="L972" t="n">
        <x:v>42615</x:v>
      </x:c>
      <x:c r="M972" t="n">
        <x:v>96</x:v>
      </x:c>
      <x:c r="N972" t="str">
        <x:v>Biography</x:v>
      </x:c>
      <x:c r="O972" t="str">
        <x:v>Clint Eastwood</x:v>
      </x:c>
      <x:c r="P972" t="str">
        <x:v>Village Roadshow Pictures</x:v>
      </x:c>
      <x:c r="Q972" t="str">
        <x:v>United States</x:v>
      </x:c>
      <x:c r="R972" t="str">
        <x:v>English</x:v>
      </x:c>
      <x:c r="S972" t="str">
        <x:v>12A</x:v>
      </x:c>
      <x:c r="T972" t="n">
        <x:v>60000000</x:v>
      </x:c>
      <x:c r="U972" t="n">
        <x:v>200700000</x:v>
      </x:c>
      <x:c r="V972" t="n">
        <x:v>0</x:v>
      </x:c>
      <x:c r="W972" t="n">
        <x:v>0</x:v>
      </x:c>
    </x:row>
    <x:row r="973">
      <x:c r="J973" t="n">
        <x:v>1444</x:v>
      </x:c>
      <x:c r="K973" t="str">
        <x:v>J. Edgar</x:v>
      </x:c>
      <x:c r="L973" t="n">
        <x:v>40850</x:v>
      </x:c>
      <x:c r="M973" t="n">
        <x:v>137</x:v>
      </x:c>
      <x:c r="N973" t="str">
        <x:v>Biography</x:v>
      </x:c>
      <x:c r="O973" t="str">
        <x:v>Clint Eastwood</x:v>
      </x:c>
      <x:c r="P973" t="str">
        <x:v>Imagine Entertainment</x:v>
      </x:c>
      <x:c r="Q973" t="str">
        <x:v>United States</x:v>
      </x:c>
      <x:c r="R973" t="str">
        <x:v>English</x:v>
      </x:c>
      <x:c r="S973" t="n">
        <x:v>15</x:v>
      </x:c>
      <x:c r="T973" t="n">
        <x:v>35000000</x:v>
      </x:c>
      <x:c r="U973" t="n">
        <x:v>84600000</x:v>
      </x:c>
      <x:c r="V973" t="n">
        <x:v>0</x:v>
      </x:c>
      <x:c r="W973" t="n">
        <x:v>0</x:v>
      </x:c>
    </x:row>
    <x:row r="974">
      <x:c r="J974" t="n">
        <x:v>1445</x:v>
      </x:c>
      <x:c r="K974" t="str">
        <x:v>Changeling</x:v>
      </x:c>
      <x:c r="L974" t="n">
        <x:v>39745</x:v>
      </x:c>
      <x:c r="M974" t="n">
        <x:v>141</x:v>
      </x:c>
      <x:c r="N974" t="str">
        <x:v>Biography</x:v>
      </x:c>
      <x:c r="O974" t="str">
        <x:v>Clint Eastwood</x:v>
      </x:c>
      <x:c r="P974" t="str">
        <x:v>Imagine Entertainment</x:v>
      </x:c>
      <x:c r="Q974" t="str">
        <x:v>United States</x:v>
      </x:c>
      <x:c r="R974" t="str">
        <x:v>English</x:v>
      </x:c>
      <x:c r="S974" t="n">
        <x:v>15</x:v>
      </x:c>
      <x:c r="T974" t="n">
        <x:v>55000000</x:v>
      </x:c>
      <x:c r="U974" t="n">
        <x:v>113000000</x:v>
      </x:c>
      <x:c r="V974" t="n">
        <x:v>3</x:v>
      </x:c>
      <x:c r="W974" t="n">
        <x:v>0</x:v>
      </x:c>
    </x:row>
    <x:row r="975">
      <x:c r="J975" t="n">
        <x:v>1446</x:v>
      </x:c>
      <x:c r="K975" t="str">
        <x:v>Blade: Trinity</x:v>
      </x:c>
      <x:c r="L975" t="n">
        <x:v>38329</x:v>
      </x:c>
      <x:c r="M975" t="n">
        <x:v>113</x:v>
      </x:c>
      <x:c r="N975" t="str">
        <x:v>Action</x:v>
      </x:c>
      <x:c r="O975" t="str">
        <x:v>David S. Goyer</x:v>
      </x:c>
      <x:c r="P975" t="str">
        <x:v>Marvel Entertainment</x:v>
      </x:c>
      <x:c r="Q975" t="str">
        <x:v>United States</x:v>
      </x:c>
      <x:c r="R975" t="str">
        <x:v>English</x:v>
      </x:c>
      <x:c r="S975" t="n">
        <x:v>15</x:v>
      </x:c>
      <x:c r="T975" t="n">
        <x:v>65000000</x:v>
      </x:c>
      <x:c r="U975" t="n">
        <x:v>128900000</x:v>
      </x:c>
      <x:c r="V975" t="n">
        <x:v>0</x:v>
      </x:c>
      <x:c r="W975" t="n">
        <x:v>0</x:v>
      </x:c>
    </x:row>
    <x:row r="976">
      <x:c r="J976" t="n">
        <x:v>1447</x:v>
      </x:c>
      <x:c r="K976" t="str">
        <x:v>U.S. Marshals</x:v>
      </x:c>
      <x:c r="L976" t="n">
        <x:v>35860</x:v>
      </x:c>
      <x:c r="M976" t="n">
        <x:v>131</x:v>
      </x:c>
      <x:c r="N976" t="str">
        <x:v>Thriller</x:v>
      </x:c>
      <x:c r="O976" t="str">
        <x:v>Stuart Baird</x:v>
      </x:c>
      <x:c r="P976" t="str">
        <x:v>Kopelson Entertainment</x:v>
      </x:c>
      <x:c r="Q976" t="str">
        <x:v>United States</x:v>
      </x:c>
      <x:c r="R976" t="str">
        <x:v>English</x:v>
      </x:c>
      <x:c r="S976" t="n">
        <x:v>15</x:v>
      </x:c>
      <x:c r="T976" t="n">
        <x:v>45000000</x:v>
      </x:c>
      <x:c r="U976" t="n">
        <x:v>102400000</x:v>
      </x:c>
      <x:c r="V976" t="n">
        <x:v>0</x:v>
      </x:c>
      <x:c r="W976" t="n">
        <x:v>0</x:v>
      </x:c>
    </x:row>
    <x:row r="977">
      <x:c r="J977" t="n">
        <x:v>1448</x:v>
      </x:c>
      <x:c r="K977" t="str">
        <x:v>Drop Zone</x:v>
      </x:c>
      <x:c r="L977" t="n">
        <x:v>34677</x:v>
      </x:c>
      <x:c r="M977" t="n">
        <x:v>101</x:v>
      </x:c>
      <x:c r="N977" t="str">
        <x:v>Action</x:v>
      </x:c>
      <x:c r="O977" t="str">
        <x:v>John Badham</x:v>
      </x:c>
      <x:c r="P977" t="str">
        <x:v>Paramount Pictures</x:v>
      </x:c>
      <x:c r="Q977" t="str">
        <x:v>United States</x:v>
      </x:c>
      <x:c r="R977" t="str">
        <x:v>English</x:v>
      </x:c>
      <x:c r="S977" t="n">
        <x:v>15</x:v>
      </x:c>
      <x:c r="T977" t="n">
        <x:v>45000000</x:v>
      </x:c>
      <x:c r="U977" t="n">
        <x:v>28735000</x:v>
      </x:c>
      <x:c r="V977" t="n">
        <x:v>0</x:v>
      </x:c>
      <x:c r="W977" t="n">
        <x:v>0</x:v>
      </x:c>
    </x:row>
    <x:row r="978">
      <x:c r="J978" t="n">
        <x:v>1449</x:v>
      </x:c>
      <x:c r="K978" t="str">
        <x:v>Demolition Man</x:v>
      </x:c>
      <x:c r="L978" t="n">
        <x:v>34250</x:v>
      </x:c>
      <x:c r="M978" t="n">
        <x:v>115</x:v>
      </x:c>
      <x:c r="N978" t="str">
        <x:v>Action</x:v>
      </x:c>
      <x:c r="O978" t="str">
        <x:v>Marco Brambilla</x:v>
      </x:c>
      <x:c r="P978" t="str">
        <x:v>Silver Pictures</x:v>
      </x:c>
      <x:c r="Q978" t="str">
        <x:v>United States</x:v>
      </x:c>
      <x:c r="R978" t="str">
        <x:v>English</x:v>
      </x:c>
      <x:c r="S978" t="n">
        <x:v>15</x:v>
      </x:c>
      <x:c r="T978" t="n">
        <x:v>57000000</x:v>
      </x:c>
      <x:c r="U978" t="n">
        <x:v>159100000</x:v>
      </x:c>
      <x:c r="V978" t="n">
        <x:v>0</x:v>
      </x:c>
      <x:c r="W978" t="n">
        <x:v>0</x:v>
      </x:c>
    </x:row>
    <x:row r="979">
      <x:c r="J979" t="n">
        <x:v>1450</x:v>
      </x:c>
      <x:c r="K979" t="str">
        <x:v>Passenger 57</x:v>
      </x:c>
      <x:c r="L979" t="n">
        <x:v>33914</x:v>
      </x:c>
      <x:c r="M979" t="n">
        <x:v>84</x:v>
      </x:c>
      <x:c r="N979" t="str">
        <x:v>Action</x:v>
      </x:c>
      <x:c r="O979" t="str">
        <x:v>Kevin Hooks</x:v>
      </x:c>
      <x:c r="P979" t="str">
        <x:v>Warner Bros. Pictures</x:v>
      </x:c>
      <x:c r="Q979" t="str">
        <x:v>United States</x:v>
      </x:c>
      <x:c r="R979" t="str">
        <x:v>English</x:v>
      </x:c>
      <x:c r="S979" t="n">
        <x:v>15</x:v>
      </x:c>
      <x:c r="T979" t="n">
        <x:v>15000000</x:v>
      </x:c>
      <x:c r="U979" t="n">
        <x:v>44065000</x:v>
      </x:c>
      <x:c r="V979" t="n">
        <x:v>0</x:v>
      </x:c>
      <x:c r="W979" t="n">
        <x:v>0</x:v>
      </x:c>
    </x:row>
    <x:row r="980">
      <x:c r="J980" t="n">
        <x:v>1451</x:v>
      </x:c>
      <x:c r="K980" t="str">
        <x:v>The Princess Bride</x:v>
      </x:c>
      <x:c r="L980" t="n">
        <x:v>32045</x:v>
      </x:c>
      <x:c r="M980" t="n">
        <x:v>98</x:v>
      </x:c>
      <x:c r="N980" t="str">
        <x:v>Fantasy</x:v>
      </x:c>
      <x:c r="O980" t="str">
        <x:v>Rob Reiner</x:v>
      </x:c>
      <x:c r="P980" t="str">
        <x:v>Act III Communications</x:v>
      </x:c>
      <x:c r="Q980" t="str">
        <x:v>United States</x:v>
      </x:c>
      <x:c r="R980" t="str">
        <x:v>English</x:v>
      </x:c>
      <x:c r="S980" t="str">
        <x:v>PG</x:v>
      </x:c>
      <x:c r="T980" t="n">
        <x:v>16000000</x:v>
      </x:c>
      <x:c r="U980" t="n">
        <x:v>30900000</x:v>
      </x:c>
      <x:c r="V980" t="n">
        <x:v>1</x:v>
      </x:c>
      <x:c r="W980" t="n">
        <x:v>0</x:v>
      </x:c>
    </x:row>
    <x:row r="981">
      <x:c r="J981" t="n">
        <x:v>1452</x:v>
      </x:c>
      <x:c r="K981" t="str">
        <x:v>The Long Riders</x:v>
      </x:c>
      <x:c r="L981" t="n">
        <x:v>29357</x:v>
      </x:c>
      <x:c r="M981" t="n">
        <x:v>99</x:v>
      </x:c>
      <x:c r="N981" t="str">
        <x:v>Western</x:v>
      </x:c>
      <x:c r="O981" t="str">
        <x:v>Walter Hill</x:v>
      </x:c>
      <x:c r="P981" t="str">
        <x:v>United Artists</x:v>
      </x:c>
      <x:c r="Q981" t="str">
        <x:v>United States</x:v>
      </x:c>
      <x:c r="R981" t="str">
        <x:v>English</x:v>
      </x:c>
      <x:c r="S981" t="n">
        <x:v>18</x:v>
      </x:c>
      <x:c r="T981" t="n">
        <x:v>8000000</x:v>
      </x:c>
      <x:c r="U981" t="n">
        <x:v>15795000</x:v>
      </x:c>
      <x:c r="V981" t="n">
        <x:v>0</x:v>
      </x:c>
      <x:c r="W981" t="n">
        <x:v>0</x:v>
      </x:c>
    </x:row>
    <x:row r="982">
      <x:c r="J982" t="n">
        <x:v>1453</x:v>
      </x:c>
      <x:c r="K982" t="str">
        <x:v>The Wild Bunch</x:v>
      </x:c>
      <x:c r="L982" t="n">
        <x:v>25372</x:v>
      </x:c>
      <x:c r="M982" t="n">
        <x:v>143</x:v>
      </x:c>
      <x:c r="N982" t="str">
        <x:v>Western</x:v>
      </x:c>
      <x:c r="O982" t="str">
        <x:v>Sam Peckinpah</x:v>
      </x:c>
      <x:c r="P982" t="str">
        <x:v>Seven Arts Productions</x:v>
      </x:c>
      <x:c r="Q982" t="str">
        <x:v>United States</x:v>
      </x:c>
      <x:c r="R982" t="str">
        <x:v>English</x:v>
      </x:c>
      <x:c r="S982" t="n">
        <x:v>18</x:v>
      </x:c>
      <x:c r="T982" t="n">
        <x:v>6000000</x:v>
      </x:c>
      <x:c r="U982" t="n">
        <x:v>11138000</x:v>
      </x:c>
      <x:c r="V982" t="n">
        <x:v>2</x:v>
      </x:c>
      <x:c r="W982" t="n">
        <x:v>0</x:v>
      </x:c>
    </x:row>
    <x:row r="983">
      <x:c r="J983" t="n">
        <x:v>1454</x:v>
      </x:c>
      <x:c r="K983" t="str">
        <x:v>American History X</x:v>
      </x:c>
      <x:c r="L983" t="n">
        <x:v>36098</x:v>
      </x:c>
      <x:c r="M983" t="n">
        <x:v>119</x:v>
      </x:c>
      <x:c r="N983" t="str">
        <x:v>Drama</x:v>
      </x:c>
      <x:c r="O983" t="str">
        <x:v>Tony Kaye</x:v>
      </x:c>
      <x:c r="P983" t="str">
        <x:v>New Line Cinema</x:v>
      </x:c>
      <x:c r="Q983" t="str">
        <x:v>United States</x:v>
      </x:c>
      <x:c r="R983" t="str">
        <x:v>English</x:v>
      </x:c>
      <x:c r="S983" t="n">
        <x:v>18</x:v>
      </x:c>
      <x:c r="T983" t="n">
        <x:v>20000000</x:v>
      </x:c>
      <x:c r="U983" t="n">
        <x:v>23900000</x:v>
      </x:c>
      <x:c r="V983" t="n">
        <x:v>1</x:v>
      </x:c>
      <x:c r="W983" t="n">
        <x:v>0</x:v>
      </x:c>
    </x:row>
    <x:row r="984">
      <x:c r="J984" t="n">
        <x:v>1455</x:v>
      </x:c>
      <x:c r="K984" t="str">
        <x:v>Convoy</x:v>
      </x:c>
      <x:c r="L984" t="n">
        <x:v>28669</x:v>
      </x:c>
      <x:c r="M984" t="n">
        <x:v>112</x:v>
      </x:c>
      <x:c r="N984" t="str">
        <x:v>Action</x:v>
      </x:c>
      <x:c r="O984" t="str">
        <x:v>Sam Peckinpah</x:v>
      </x:c>
      <x:c r="P984" t="str">
        <x:v>EMI Films</x:v>
      </x:c>
      <x:c r="Q984" t="str">
        <x:v>United States</x:v>
      </x:c>
      <x:c r="R984" t="str">
        <x:v>English</x:v>
      </x:c>
      <x:c r="S984" t="n">
        <x:v>15</x:v>
      </x:c>
      <x:c r="T984" t="n">
        <x:v>12000000</x:v>
      </x:c>
      <x:c r="U984" t="n">
        <x:v>45000000</x:v>
      </x:c>
      <x:c r="V984" t="n">
        <x:v>0</x:v>
      </x:c>
      <x:c r="W984" t="n">
        <x:v>0</x:v>
      </x:c>
    </x:row>
    <x:row r="985">
      <x:c r="J985" t="n">
        <x:v>1456</x:v>
      </x:c>
      <x:c r="K985" t="str">
        <x:v>Cross of Iron</x:v>
      </x:c>
      <x:c r="L985" t="n">
        <x:v>28153</x:v>
      </x:c>
      <x:c r="M985" t="n">
        <x:v>133</x:v>
      </x:c>
      <x:c r="N985" t="str">
        <x:v>War</x:v>
      </x:c>
      <x:c r="O985" t="str">
        <x:v>Sam Peckinpah</x:v>
      </x:c>
      <x:c r="P985" t="str">
        <x:v>EMI Films</x:v>
      </x:c>
      <x:c r="Q985" t="str">
        <x:v>United Kingdom</x:v>
      </x:c>
      <x:c r="R985" t="str">
        <x:v>English</x:v>
      </x:c>
      <x:c r="S985" t="n">
        <x:v>18</x:v>
      </x:c>
      <x:c r="T985" t="n">
        <x:v>6000000</x:v>
      </x:c>
      <x:c r="U985"/>
      <x:c r="V985" t="n">
        <x:v>0</x:v>
      </x:c>
      <x:c r="W985" t="n">
        <x:v>0</x:v>
      </x:c>
    </x:row>
    <x:row r="986">
      <x:c r="J986" t="n">
        <x:v>1457</x:v>
      </x:c>
      <x:c r="K986" t="str">
        <x:v>The Getaway</x:v>
      </x:c>
      <x:c r="L986" t="n">
        <x:v>26646</x:v>
      </x:c>
      <x:c r="M986" t="n">
        <x:v>122</x:v>
      </x:c>
      <x:c r="N986" t="str">
        <x:v>Crime</x:v>
      </x:c>
      <x:c r="O986" t="str">
        <x:v>Sam Peckinpah</x:v>
      </x:c>
      <x:c r="P986" t="str">
        <x:v>First Artists</x:v>
      </x:c>
      <x:c r="Q986" t="str">
        <x:v>United States</x:v>
      </x:c>
      <x:c r="R986" t="str">
        <x:v>English</x:v>
      </x:c>
      <x:c r="S986" t="n">
        <x:v>18</x:v>
      </x:c>
      <x:c r="T986" t="n">
        <x:v>3350000</x:v>
      </x:c>
      <x:c r="U986" t="n">
        <x:v>36734000</x:v>
      </x:c>
      <x:c r="V986" t="n">
        <x:v>0</x:v>
      </x:c>
      <x:c r="W986" t="n">
        <x:v>0</x:v>
      </x:c>
    </x:row>
    <x:row r="987">
      <x:c r="J987" t="n">
        <x:v>1458</x:v>
      </x:c>
      <x:c r="K987" t="str">
        <x:v>Straw Dogs</x:v>
      </x:c>
      <x:c r="L987" t="n">
        <x:v>26296</x:v>
      </x:c>
      <x:c r="M987" t="n">
        <x:v>117</x:v>
      </x:c>
      <x:c r="N987" t="str">
        <x:v>Thriller</x:v>
      </x:c>
      <x:c r="O987" t="str">
        <x:v>Sam Peckinpah</x:v>
      </x:c>
      <x:c r="P987" t="str">
        <x:v>ABC Pictures</x:v>
      </x:c>
      <x:c r="Q987" t="str">
        <x:v>United States</x:v>
      </x:c>
      <x:c r="R987" t="str">
        <x:v>English</x:v>
      </x:c>
      <x:c r="S987" t="n">
        <x:v>18</x:v>
      </x:c>
      <x:c r="T987" t="n">
        <x:v>2200000</x:v>
      </x:c>
      <x:c r="U987" t="n">
        <x:v>8000000</x:v>
      </x:c>
      <x:c r="V987" t="n">
        <x:v>1</x:v>
      </x:c>
      <x:c r="W987" t="n">
        <x:v>0</x:v>
      </x:c>
    </x:row>
    <x:row r="988">
      <x:c r="J988" t="n">
        <x:v>1459</x:v>
      </x:c>
      <x:c r="K988" t="str">
        <x:v>Judgment at Nuremberg</x:v>
      </x:c>
      <x:c r="L988" t="n">
        <x:v>22634</x:v>
      </x:c>
      <x:c r="M988" t="n">
        <x:v>179</x:v>
      </x:c>
      <x:c r="N988" t="str">
        <x:v>Drama</x:v>
      </x:c>
      <x:c r="O988" t="str">
        <x:v>Stanley Kramer</x:v>
      </x:c>
      <x:c r="P988" t="str">
        <x:v>United Artists</x:v>
      </x:c>
      <x:c r="Q988" t="str">
        <x:v>United States</x:v>
      </x:c>
      <x:c r="R988" t="str">
        <x:v>English</x:v>
      </x:c>
      <x:c r="S988" t="str">
        <x:v>PG</x:v>
      </x:c>
      <x:c r="T988" t="n">
        <x:v>3000000</x:v>
      </x:c>
      <x:c r="U988" t="n">
        <x:v>10000000</x:v>
      </x:c>
      <x:c r="V988" t="n">
        <x:v>11</x:v>
      </x:c>
      <x:c r="W988" t="n">
        <x:v>2</x:v>
      </x:c>
    </x:row>
    <x:row r="989">
      <x:c r="J989" t="n">
        <x:v>1460</x:v>
      </x:c>
      <x:c r="K989" t="str">
        <x:v>The Great Escape</x:v>
      </x:c>
      <x:c r="L989" t="n">
        <x:v>23182</x:v>
      </x:c>
      <x:c r="M989" t="n">
        <x:v>172</x:v>
      </x:c>
      <x:c r="N989" t="str">
        <x:v>War</x:v>
      </x:c>
      <x:c r="O989" t="str">
        <x:v>John Sturges</x:v>
      </x:c>
      <x:c r="P989" t="str">
        <x:v>The Mirisch Production Company</x:v>
      </x:c>
      <x:c r="Q989" t="str">
        <x:v>United States</x:v>
      </x:c>
      <x:c r="R989" t="str">
        <x:v>English</x:v>
      </x:c>
      <x:c r="S989" t="str">
        <x:v>PG</x:v>
      </x:c>
      <x:c r="T989" t="n">
        <x:v>3800000</x:v>
      </x:c>
      <x:c r="U989" t="n">
        <x:v>11744000</x:v>
      </x:c>
      <x:c r="V989" t="n">
        <x:v>1</x:v>
      </x:c>
      <x:c r="W989" t="n">
        <x:v>0</x:v>
      </x:c>
    </x:row>
    <x:row r="990">
      <x:c r="J990" t="n">
        <x:v>1461</x:v>
      </x:c>
      <x:c r="K990" t="str">
        <x:v>Zulu</x:v>
      </x:c>
      <x:c r="L990" t="n">
        <x:v>23398</x:v>
      </x:c>
      <x:c r="M990" t="n">
        <x:v>139</x:v>
      </x:c>
      <x:c r="N990" t="str">
        <x:v>History</x:v>
      </x:c>
      <x:c r="O990" t="str">
        <x:v>Cy Endfield</x:v>
      </x:c>
      <x:c r="P990" t="str">
        <x:v>Paramount Pictures</x:v>
      </x:c>
      <x:c r="Q990" t="str">
        <x:v>United Kingdom</x:v>
      </x:c>
      <x:c r="R990" t="str">
        <x:v>English</x:v>
      </x:c>
      <x:c r="S990" t="str">
        <x:v>PG</x:v>
      </x:c>
      <x:c r="T990" t="n">
        <x:v>3500000</x:v>
      </x:c>
      <x:c r="U990" t="n">
        <x:v>8000000</x:v>
      </x:c>
      <x:c r="V990" t="n">
        <x:v>0</x:v>
      </x:c>
      <x:c r="W990" t="n">
        <x:v>0</x:v>
      </x:c>
    </x:row>
    <x:row r="991">
      <x:c r="J991" t="n">
        <x:v>1462</x:v>
      </x:c>
      <x:c r="K991" t="str">
        <x:v>Lucky Number Slevin</x:v>
      </x:c>
      <x:c r="L991" t="n">
        <x:v>38772</x:v>
      </x:c>
      <x:c r="M991" t="n">
        <x:v>110</x:v>
      </x:c>
      <x:c r="N991" t="str">
        <x:v>Crime</x:v>
      </x:c>
      <x:c r="O991" t="str">
        <x:v>Paul McGuigan</x:v>
      </x:c>
      <x:c r="P991" t="str">
        <x:v>Metro-Goldwyn-Mayer</x:v>
      </x:c>
      <x:c r="Q991" t="str">
        <x:v>Germany</x:v>
      </x:c>
      <x:c r="R991" t="str">
        <x:v>English</x:v>
      </x:c>
      <x:c r="S991" t="n">
        <x:v>18</x:v>
      </x:c>
      <x:c r="T991" t="n">
        <x:v>27000000</x:v>
      </x:c>
      <x:c r="U991" t="n">
        <x:v>56300000</x:v>
      </x:c>
      <x:c r="V991" t="n">
        <x:v>0</x:v>
      </x:c>
      <x:c r="W991" t="n">
        <x:v>0</x:v>
      </x:c>
    </x:row>
    <x:row r="992">
      <x:c r="J992" t="n">
        <x:v>1463</x:v>
      </x:c>
      <x:c r="K992" t="str">
        <x:v>Star Trek Beyond</x:v>
      </x:c>
      <x:c r="L992" t="n">
        <x:v>42558</x:v>
      </x:c>
      <x:c r="M992" t="n">
        <x:v>122</x:v>
      </x:c>
      <x:c r="N992" t="str">
        <x:v>Science Fiction</x:v>
      </x:c>
      <x:c r="O992" t="str">
        <x:v>Justin Lin</x:v>
      </x:c>
      <x:c r="P992" t="str">
        <x:v>Bad Robot Productions</x:v>
      </x:c>
      <x:c r="Q992" t="str">
        <x:v>United States</x:v>
      </x:c>
      <x:c r="R992" t="str">
        <x:v>English</x:v>
      </x:c>
      <x:c r="S992" t="str">
        <x:v>12A</x:v>
      </x:c>
      <x:c r="T992" t="n">
        <x:v>185000000</x:v>
      </x:c>
      <x:c r="U992" t="n">
        <x:v>343500000</x:v>
      </x:c>
      <x:c r="V992" t="n">
        <x:v>0</x:v>
      </x:c>
      <x:c r="W992" t="n">
        <x:v>0</x:v>
      </x:c>
    </x:row>
    <x:row r="993">
      <x:c r="J993" t="n">
        <x:v>1464</x:v>
      </x:c>
      <x:c r="K993" t="str">
        <x:v>Star Trek Into Darkness</x:v>
      </x:c>
      <x:c r="L993" t="n">
        <x:v>41387</x:v>
      </x:c>
      <x:c r="M993" t="n">
        <x:v>133</x:v>
      </x:c>
      <x:c r="N993" t="str">
        <x:v>Science Fiction</x:v>
      </x:c>
      <x:c r="O993" t="str">
        <x:v>J. J. Abrams</x:v>
      </x:c>
      <x:c r="P993" t="str">
        <x:v>Bad Robot Productions</x:v>
      </x:c>
      <x:c r="Q993" t="str">
        <x:v>United States</x:v>
      </x:c>
      <x:c r="R993" t="str">
        <x:v>English</x:v>
      </x:c>
      <x:c r="S993" t="n">
        <x:v>12</x:v>
      </x:c>
      <x:c r="T993" t="n">
        <x:v>185000000</x:v>
      </x:c>
      <x:c r="U993" t="n">
        <x:v>467400000</x:v>
      </x:c>
      <x:c r="V993" t="n">
        <x:v>1</x:v>
      </x:c>
      <x:c r="W993" t="n">
        <x:v>0</x:v>
      </x:c>
    </x:row>
    <x:row r="994">
      <x:c r="J994" t="n">
        <x:v>1465</x:v>
      </x:c>
      <x:c r="K994" t="str">
        <x:v>Star Trek</x:v>
      </x:c>
      <x:c r="L994" t="n">
        <x:v>39910</x:v>
      </x:c>
      <x:c r="M994" t="n">
        <x:v>127</x:v>
      </x:c>
      <x:c r="N994" t="str">
        <x:v>Science Fiction</x:v>
      </x:c>
      <x:c r="O994" t="str">
        <x:v>J. J. Abrams</x:v>
      </x:c>
      <x:c r="P994" t="str">
        <x:v>Bad Robot Productions</x:v>
      </x:c>
      <x:c r="Q994" t="str">
        <x:v>United States</x:v>
      </x:c>
      <x:c r="R994" t="str">
        <x:v>English</x:v>
      </x:c>
      <x:c r="S994" t="n">
        <x:v>12</x:v>
      </x:c>
      <x:c r="T994" t="n">
        <x:v>150000000</x:v>
      </x:c>
      <x:c r="U994" t="n">
        <x:v>385700000</x:v>
      </x:c>
      <x:c r="V994" t="n">
        <x:v>4</x:v>
      </x:c>
      <x:c r="W994" t="n">
        <x:v>1</x:v>
      </x:c>
    </x:row>
    <x:row r="995">
      <x:c r="J995" t="n">
        <x:v>1466</x:v>
      </x:c>
      <x:c r="K995" t="str">
        <x:v>RoboCop</x:v>
      </x:c>
      <x:c r="L995" t="n">
        <x:v>31975</x:v>
      </x:c>
      <x:c r="M995" t="n">
        <x:v>101</x:v>
      </x:c>
      <x:c r="N995" t="str">
        <x:v>Science Fiction</x:v>
      </x:c>
      <x:c r="O995" t="str">
        <x:v>Paul Verhoeven</x:v>
      </x:c>
      <x:c r="P995" t="str">
        <x:v>Orion Pictures</x:v>
      </x:c>
      <x:c r="Q995" t="str">
        <x:v>United States</x:v>
      </x:c>
      <x:c r="R995" t="str">
        <x:v>English</x:v>
      </x:c>
      <x:c r="S995" t="n">
        <x:v>18</x:v>
      </x:c>
      <x:c r="T995" t="n">
        <x:v>13000000</x:v>
      </x:c>
      <x:c r="U995" t="n">
        <x:v>53400000</x:v>
      </x:c>
      <x:c r="V995" t="n">
        <x:v>2</x:v>
      </x:c>
      <x:c r="W995" t="n">
        <x:v>0</x:v>
      </x:c>
    </x:row>
    <x:row r="996">
      <x:c r="J996" t="n">
        <x:v>1467</x:v>
      </x:c>
      <x:c r="K996" t="str">
        <x:v>RoboCop</x:v>
      </x:c>
      <x:c r="L996" t="n">
        <x:v>41682</x:v>
      </x:c>
      <x:c r="M996" t="n">
        <x:v>118</x:v>
      </x:c>
      <x:c r="N996" t="str">
        <x:v>Science Fiction</x:v>
      </x:c>
      <x:c r="O996" t="str">
        <x:v>Jose Padilha</x:v>
      </x:c>
      <x:c r="P996" t="str">
        <x:v>Metro-Goldwyn-Mayer</x:v>
      </x:c>
      <x:c r="Q996" t="str">
        <x:v>United States</x:v>
      </x:c>
      <x:c r="R996" t="str">
        <x:v>English</x:v>
      </x:c>
      <x:c r="S996" t="str">
        <x:v>12A</x:v>
      </x:c>
      <x:c r="T996" t="n">
        <x:v>100000000</x:v>
      </x:c>
      <x:c r="U996" t="n">
        <x:v>242700000</x:v>
      </x:c>
      <x:c r="V996" t="n">
        <x:v>0</x:v>
      </x:c>
      <x:c r="W996" t="n">
        <x:v>0</x:v>
      </x:c>
    </x:row>
    <x:row r="997">
      <x:c r="J997" t="n">
        <x:v>1468</x:v>
      </x:c>
      <x:c r="K997" t="str">
        <x:v>Clerks</x:v>
      </x:c>
      <x:c r="L997" t="n">
        <x:v>34626</x:v>
      </x:c>
      <x:c r="M997" t="n">
        <x:v>92</x:v>
      </x:c>
      <x:c r="N997" t="str">
        <x:v>Comedy</x:v>
      </x:c>
      <x:c r="O997" t="str">
        <x:v>Kevin Smith</x:v>
      </x:c>
      <x:c r="P997" t="str">
        <x:v>View Askew Productions</x:v>
      </x:c>
      <x:c r="Q997" t="str">
        <x:v>United States</x:v>
      </x:c>
      <x:c r="R997" t="str">
        <x:v>English</x:v>
      </x:c>
      <x:c r="S997" t="n">
        <x:v>18</x:v>
      </x:c>
      <x:c r="T997" t="n">
        <x:v>230000</x:v>
      </x:c>
      <x:c r="U997" t="n">
        <x:v>3200000</x:v>
      </x:c>
      <x:c r="V997" t="n">
        <x:v>0</x:v>
      </x:c>
      <x:c r="W997" t="n">
        <x:v>0</x:v>
      </x:c>
    </x:row>
    <x:row r="998">
      <x:c r="J998" t="n">
        <x:v>1469</x:v>
      </x:c>
      <x:c r="K998" t="str">
        <x:v>Mallrats</x:v>
      </x:c>
      <x:c r="L998" t="n">
        <x:v>34992</x:v>
      </x:c>
      <x:c r="M998" t="n">
        <x:v>94</x:v>
      </x:c>
      <x:c r="N998" t="str">
        <x:v>Comedy</x:v>
      </x:c>
      <x:c r="O998" t="str">
        <x:v>Kevin Smith</x:v>
      </x:c>
      <x:c r="P998" t="str">
        <x:v>View Askew Productions</x:v>
      </x:c>
      <x:c r="Q998" t="str">
        <x:v>United States</x:v>
      </x:c>
      <x:c r="R998" t="str">
        <x:v>English</x:v>
      </x:c>
      <x:c r="S998" t="n">
        <x:v>18</x:v>
      </x:c>
      <x:c r="T998" t="n">
        <x:v>6100000</x:v>
      </x:c>
      <x:c r="U998" t="n">
        <x:v>22100000</x:v>
      </x:c>
      <x:c r="V998" t="n">
        <x:v>0</x:v>
      </x:c>
      <x:c r="W998" t="n">
        <x:v>0</x:v>
      </x:c>
    </x:row>
    <x:row r="999">
      <x:c r="J999" t="n">
        <x:v>1470</x:v>
      </x:c>
      <x:c r="K999" t="str">
        <x:v>Chasing Amy</x:v>
      </x:c>
      <x:c r="L999" t="n">
        <x:v>35524</x:v>
      </x:c>
      <x:c r="M999" t="n">
        <x:v>113</x:v>
      </x:c>
      <x:c r="N999" t="str">
        <x:v>Romantic Comedy</x:v>
      </x:c>
      <x:c r="O999" t="str">
        <x:v>Kevin Smith</x:v>
      </x:c>
      <x:c r="P999" t="str">
        <x:v>View Askew Productions</x:v>
      </x:c>
      <x:c r="Q999" t="str">
        <x:v>United States</x:v>
      </x:c>
      <x:c r="R999" t="str">
        <x:v>English</x:v>
      </x:c>
      <x:c r="S999" t="n">
        <x:v>18</x:v>
      </x:c>
      <x:c r="T999" t="n">
        <x:v>250000</x:v>
      </x:c>
      <x:c r="U999" t="n">
        <x:v>12000000</x:v>
      </x:c>
      <x:c r="V999" t="n">
        <x:v>0</x:v>
      </x:c>
      <x:c r="W999" t="n">
        <x:v>0</x:v>
      </x:c>
    </x:row>
    <x:row r="1000">
      <x:c r="J1000" t="n">
        <x:v>1471</x:v>
      </x:c>
      <x:c r="K1000" t="str">
        <x:v>Dogma</x:v>
      </x:c>
      <x:c r="L1000" t="n">
        <x:v>36301</x:v>
      </x:c>
      <x:c r="M1000" t="n">
        <x:v>128</x:v>
      </x:c>
      <x:c r="N1000" t="str">
        <x:v>Comedy</x:v>
      </x:c>
      <x:c r="O1000" t="str">
        <x:v>Kevin Smith</x:v>
      </x:c>
      <x:c r="P1000" t="str">
        <x:v>View Askew Productions</x:v>
      </x:c>
      <x:c r="Q1000" t="str">
        <x:v>United States</x:v>
      </x:c>
      <x:c r="R1000" t="str">
        <x:v>English</x:v>
      </x:c>
      <x:c r="S1000" t="n">
        <x:v>15</x:v>
      </x:c>
      <x:c r="T1000" t="n">
        <x:v>10000000</x:v>
      </x:c>
      <x:c r="U1000" t="n">
        <x:v>31400000</x:v>
      </x:c>
      <x:c r="V1000" t="n">
        <x:v>0</x:v>
      </x:c>
      <x:c r="W1000" t="n">
        <x:v>0</x:v>
      </x:c>
    </x:row>
    <x:row r="1001">
      <x:c r="J1001" t="n">
        <x:v>1472</x:v>
      </x:c>
      <x:c r="K1001" t="str">
        <x:v>Bronson</x:v>
      </x:c>
      <x:c r="L1001" t="n">
        <x:v>39738</x:v>
      </x:c>
      <x:c r="M1001" t="n">
        <x:v>92</x:v>
      </x:c>
      <x:c r="N1001" t="str">
        <x:v>Crime</x:v>
      </x:c>
      <x:c r="O1001" t="str">
        <x:v>Nicolas Winding Refn</x:v>
      </x:c>
      <x:c r="P1001" t="str">
        <x:v>Vertigo Films</x:v>
      </x:c>
      <x:c r="Q1001" t="str">
        <x:v>United Kingdom</x:v>
      </x:c>
      <x:c r="R1001" t="str">
        <x:v>English</x:v>
      </x:c>
      <x:c r="S1001" t="n">
        <x:v>18</x:v>
      </x:c>
      <x:c r="T1001" t="n">
        <x:v>230000</x:v>
      </x:c>
      <x:c r="U1001" t="n">
        <x:v>2300000</x:v>
      </x:c>
      <x:c r="V1001" t="n">
        <x:v>0</x:v>
      </x:c>
      <x:c r="W1001" t="n">
        <x:v>0</x:v>
      </x:c>
    </x:row>
    <x:row r="1002">
      <x:c r="J1002" t="n">
        <x:v>1473</x:v>
      </x:c>
      <x:c r="K1002" t="str">
        <x:v>Drive</x:v>
      </x:c>
      <x:c r="L1002" t="n">
        <x:v>40683</x:v>
      </x:c>
      <x:c r="M1002" t="n">
        <x:v>100</x:v>
      </x:c>
      <x:c r="N1002" t="str">
        <x:v>Crime</x:v>
      </x:c>
      <x:c r="O1002" t="str">
        <x:v>Nicolas Winding Refn</x:v>
      </x:c>
      <x:c r="P1002" t="str">
        <x:v>FilmDistrict</x:v>
      </x:c>
      <x:c r="Q1002" t="str">
        <x:v>United States</x:v>
      </x:c>
      <x:c r="R1002" t="str">
        <x:v>English</x:v>
      </x:c>
      <x:c r="S1002" t="n">
        <x:v>18</x:v>
      </x:c>
      <x:c r="T1002" t="n">
        <x:v>1500000</x:v>
      </x:c>
      <x:c r="U1002" t="n">
        <x:v>78100000</x:v>
      </x:c>
      <x:c r="V1002" t="n">
        <x:v>1</x:v>
      </x:c>
      <x:c r="W1002" t="n">
        <x:v>0</x:v>
      </x:c>
    </x:row>
    <x:row r="1003">
      <x:c r="J1003" t="n">
        <x:v>1474</x:v>
      </x:c>
      <x:c r="K1003" t="str">
        <x:v>Only God Forgives</x:v>
      </x:c>
      <x:c r="L1003" t="n">
        <x:v>41416</x:v>
      </x:c>
      <x:c r="M1003" t="n">
        <x:v>90</x:v>
      </x:c>
      <x:c r="N1003" t="str">
        <x:v>Thriller</x:v>
      </x:c>
      <x:c r="O1003" t="str">
        <x:v>Nicolas Winding Refn</x:v>
      </x:c>
      <x:c r="P1003" t="str">
        <x:v>Gaumont</x:v>
      </x:c>
      <x:c r="Q1003" t="str">
        <x:v>Denmark</x:v>
      </x:c>
      <x:c r="R1003" t="str">
        <x:v>English</x:v>
      </x:c>
      <x:c r="S1003" t="n">
        <x:v>18</x:v>
      </x:c>
      <x:c r="T1003" t="n">
        <x:v>4800000</x:v>
      </x:c>
      <x:c r="U1003" t="n">
        <x:v>10300000</x:v>
      </x:c>
      <x:c r="V1003" t="n">
        <x:v>0</x:v>
      </x:c>
      <x:c r="W1003" t="n">
        <x:v>0</x:v>
      </x:c>
    </x:row>
    <x:row r="1004">
      <x:c r="J1004" t="n">
        <x:v>1475</x:v>
      </x:c>
      <x:c r="K1004" t="str">
        <x:v>Taxi Driver</x:v>
      </x:c>
      <x:c r="L1004" t="n">
        <x:v>27798</x:v>
      </x:c>
      <x:c r="M1004" t="n">
        <x:v>113</x:v>
      </x:c>
      <x:c r="N1004" t="str">
        <x:v>Drama</x:v>
      </x:c>
      <x:c r="O1004" t="str">
        <x:v>Martin Scorsese</x:v>
      </x:c>
      <x:c r="P1004" t="str">
        <x:v>Columbia Pictures</x:v>
      </x:c>
      <x:c r="Q1004" t="str">
        <x:v>United States</x:v>
      </x:c>
      <x:c r="R1004" t="str">
        <x:v>English</x:v>
      </x:c>
      <x:c r="S1004" t="n">
        <x:v>18</x:v>
      </x:c>
      <x:c r="T1004" t="n">
        <x:v>1300000</x:v>
      </x:c>
      <x:c r="U1004" t="n">
        <x:v>28300000</x:v>
      </x:c>
      <x:c r="V1004" t="n">
        <x:v>4</x:v>
      </x:c>
      <x:c r="W1004" t="n">
        <x:v>0</x:v>
      </x:c>
    </x:row>
    <x:row r="1005">
      <x:c r="J1005" t="n">
        <x:v>1476</x:v>
      </x:c>
      <x:c r="K1005" t="str">
        <x:v>Mean Streets</x:v>
      </x:c>
      <x:c r="L1005" t="n">
        <x:v>26939</x:v>
      </x:c>
      <x:c r="M1005" t="n">
        <x:v>112</x:v>
      </x:c>
      <x:c r="N1005" t="str">
        <x:v>Crime</x:v>
      </x:c>
      <x:c r="O1005" t="str">
        <x:v>Martin Scorsese</x:v>
      </x:c>
      <x:c r="P1005" t="str">
        <x:v>Warner Bros. Pictures</x:v>
      </x:c>
      <x:c r="Q1005" t="str">
        <x:v>United States</x:v>
      </x:c>
      <x:c r="R1005" t="str">
        <x:v>English</x:v>
      </x:c>
      <x:c r="S1005" t="n">
        <x:v>18</x:v>
      </x:c>
      <x:c r="T1005" t="n">
        <x:v>500000</x:v>
      </x:c>
      <x:c r="U1005" t="n">
        <x:v>3000000</x:v>
      </x:c>
      <x:c r="V1005" t="n">
        <x:v>0</x:v>
      </x:c>
      <x:c r="W1005" t="n">
        <x:v>0</x:v>
      </x:c>
    </x:row>
    <x:row r="1006">
      <x:c r="J1006" t="n">
        <x:v>1477</x:v>
      </x:c>
      <x:c r="K1006" t="str">
        <x:v>Cape Fear</x:v>
      </x:c>
      <x:c r="L1006" t="n">
        <x:v>22748</x:v>
      </x:c>
      <x:c r="M1006" t="n">
        <x:v>105</x:v>
      </x:c>
      <x:c r="N1006" t="str">
        <x:v>Thriller</x:v>
      </x:c>
      <x:c r="O1006" t="str">
        <x:v>J. Lee Thompson</x:v>
      </x:c>
      <x:c r="P1006" t="str">
        <x:v>Universal Pictures</x:v>
      </x:c>
      <x:c r="Q1006" t="str">
        <x:v>United States</x:v>
      </x:c>
      <x:c r="R1006" t="str">
        <x:v>English</x:v>
      </x:c>
      <x:c r="S1006" t="n">
        <x:v>15</x:v>
      </x:c>
      <x:c r="T1006"/>
      <x:c r="U1006"/>
      <x:c r="V1006" t="n">
        <x:v>0</x:v>
      </x:c>
      <x:c r="W1006" t="n">
        <x:v>0</x:v>
      </x:c>
    </x:row>
    <x:row r="1007">
      <x:c r="J1007" t="n">
        <x:v>1478</x:v>
      </x:c>
      <x:c r="K1007" t="str">
        <x:v>New York, New York</x:v>
      </x:c>
      <x:c r="L1007" t="n">
        <x:v>28297</x:v>
      </x:c>
      <x:c r="M1007" t="n">
        <x:v>163</x:v>
      </x:c>
      <x:c r="N1007" t="str">
        <x:v>Musical</x:v>
      </x:c>
      <x:c r="O1007" t="str">
        <x:v>Martin Scorsese</x:v>
      </x:c>
      <x:c r="P1007" t="str">
        <x:v>United Artists</x:v>
      </x:c>
      <x:c r="Q1007" t="str">
        <x:v>United States</x:v>
      </x:c>
      <x:c r="R1007" t="str">
        <x:v>English</x:v>
      </x:c>
      <x:c r="S1007" t="str">
        <x:v>PG</x:v>
      </x:c>
      <x:c r="T1007" t="n">
        <x:v>14000000</x:v>
      </x:c>
      <x:c r="U1007" t="n">
        <x:v>13800000</x:v>
      </x:c>
      <x:c r="V1007" t="n">
        <x:v>0</x:v>
      </x:c>
      <x:c r="W1007" t="n">
        <x:v>0</x:v>
      </x:c>
    </x:row>
    <x:row r="1008">
      <x:c r="J1008" t="n">
        <x:v>1479</x:v>
      </x:c>
      <x:c r="K1008" t="str">
        <x:v>The King of Comedy</x:v>
      </x:c>
      <x:c r="L1008" t="n">
        <x:v>30303</x:v>
      </x:c>
      <x:c r="M1008" t="n">
        <x:v>109</x:v>
      </x:c>
      <x:c r="N1008" t="str">
        <x:v>Comedy</x:v>
      </x:c>
      <x:c r="O1008" t="str">
        <x:v>Martin Scorsese</x:v>
      </x:c>
      <x:c r="P1008" t="str">
        <x:v>Embassy International</x:v>
      </x:c>
      <x:c r="Q1008" t="str">
        <x:v>United States</x:v>
      </x:c>
      <x:c r="R1008" t="str">
        <x:v>English</x:v>
      </x:c>
      <x:c r="S1008" t="str">
        <x:v>PG</x:v>
      </x:c>
      <x:c r="T1008" t="n">
        <x:v>19000000</x:v>
      </x:c>
      <x:c r="U1008" t="n">
        <x:v>2500000</x:v>
      </x:c>
      <x:c r="V1008" t="n">
        <x:v>0</x:v>
      </x:c>
      <x:c r="W1008" t="n">
        <x:v>0</x:v>
      </x:c>
    </x:row>
    <x:row r="1009">
      <x:c r="J1009" t="n">
        <x:v>1480</x:v>
      </x:c>
      <x:c r="K1009" t="str">
        <x:v>The Color of Money</x:v>
      </x:c>
      <x:c r="L1009" t="n">
        <x:v>31702</x:v>
      </x:c>
      <x:c r="M1009" t="n">
        <x:v>120</x:v>
      </x:c>
      <x:c r="N1009" t="str">
        <x:v>Drama</x:v>
      </x:c>
      <x:c r="O1009" t="str">
        <x:v>Martin Scorsese</x:v>
      </x:c>
      <x:c r="P1009" t="str">
        <x:v>Touchstone Pictures</x:v>
      </x:c>
      <x:c r="Q1009" t="str">
        <x:v>United States</x:v>
      </x:c>
      <x:c r="R1009" t="str">
        <x:v>English</x:v>
      </x:c>
      <x:c r="S1009" t="n">
        <x:v>15</x:v>
      </x:c>
      <x:c r="T1009" t="n">
        <x:v>13800000</x:v>
      </x:c>
      <x:c r="U1009" t="n">
        <x:v>52200000</x:v>
      </x:c>
      <x:c r="V1009" t="n">
        <x:v>4</x:v>
      </x:c>
      <x:c r="W1009" t="n">
        <x:v>1</x:v>
      </x:c>
    </x:row>
    <x:row r="1010">
      <x:c r="J1010" t="n">
        <x:v>1481</x:v>
      </x:c>
      <x:c r="K1010" t="str">
        <x:v>The Last Temptation of Christ</x:v>
      </x:c>
      <x:c r="L1010" t="n">
        <x:v>32367</x:v>
      </x:c>
      <x:c r="M1010" t="n">
        <x:v>162</x:v>
      </x:c>
      <x:c r="N1010" t="str">
        <x:v>Drama</x:v>
      </x:c>
      <x:c r="O1010" t="str">
        <x:v>Martin Scorsese</x:v>
      </x:c>
      <x:c r="P1010" t="str">
        <x:v>Universal Pictures</x:v>
      </x:c>
      <x:c r="Q1010" t="str">
        <x:v>United States</x:v>
      </x:c>
      <x:c r="R1010" t="str">
        <x:v>English</x:v>
      </x:c>
      <x:c r="S1010" t="n">
        <x:v>18</x:v>
      </x:c>
      <x:c r="T1010" t="n">
        <x:v>7000000</x:v>
      </x:c>
      <x:c r="U1010" t="n">
        <x:v>8900000</x:v>
      </x:c>
      <x:c r="V1010" t="n">
        <x:v>1</x:v>
      </x:c>
      <x:c r="W1010" t="n">
        <x:v>0</x:v>
      </x:c>
    </x:row>
    <x:row r="1011">
      <x:c r="J1011" t="n">
        <x:v>1482</x:v>
      </x:c>
      <x:c r="K1011" t="str">
        <x:v>The Age of Innocence</x:v>
      </x:c>
      <x:c r="L1011" t="n">
        <x:v>34229</x:v>
      </x:c>
      <x:c r="M1011" t="n">
        <x:v>139</x:v>
      </x:c>
      <x:c r="N1011" t="str">
        <x:v>Romance</x:v>
      </x:c>
      <x:c r="O1011" t="str">
        <x:v>Martin Scorsese</x:v>
      </x:c>
      <x:c r="P1011" t="str">
        <x:v>Columbia Pictures</x:v>
      </x:c>
      <x:c r="Q1011" t="str">
        <x:v>United States</x:v>
      </x:c>
      <x:c r="R1011" t="str">
        <x:v>English</x:v>
      </x:c>
      <x:c r="S1011" t="str">
        <x:v>U</x:v>
      </x:c>
      <x:c r="T1011" t="n">
        <x:v>34000000</x:v>
      </x:c>
      <x:c r="U1011" t="n">
        <x:v>32300000</x:v>
      </x:c>
      <x:c r="V1011" t="n">
        <x:v>5</x:v>
      </x:c>
      <x:c r="W1011" t="n">
        <x:v>1</x:v>
      </x:c>
    </x:row>
    <x:row r="1012">
      <x:c r="J1012" t="n">
        <x:v>1483</x:v>
      </x:c>
      <x:c r="K1012" t="str">
        <x:v>Silence</x:v>
      </x:c>
      <x:c r="L1012" t="n">
        <x:v>42703</x:v>
      </x:c>
      <x:c r="M1012" t="n">
        <x:v>159</x:v>
      </x:c>
      <x:c r="N1012" t="str">
        <x:v>Drama</x:v>
      </x:c>
      <x:c r="O1012" t="str">
        <x:v>Martin Scorsese</x:v>
      </x:c>
      <x:c r="P1012" t="str">
        <x:v>Paramount Pictures</x:v>
      </x:c>
      <x:c r="Q1012" t="str">
        <x:v>United States</x:v>
      </x:c>
      <x:c r="R1012" t="str">
        <x:v>English</x:v>
      </x:c>
      <x:c r="S1012" t="n">
        <x:v>15</x:v>
      </x:c>
      <x:c r="T1012" t="n">
        <x:v>50000000</x:v>
      </x:c>
      <x:c r="U1012"/>
      <x:c r="V1012" t="n">
        <x:v>0</x:v>
      </x:c>
      <x:c r="W1012" t="n">
        <x:v>0</x:v>
      </x:c>
    </x:row>
    <x:row r="1013">
      <x:c r="J1013" t="n">
        <x:v>1484</x:v>
      </x:c>
      <x:c r="K1013" t="str">
        <x:v>The Wolf of Wall Street</x:v>
      </x:c>
      <x:c r="L1013" t="n">
        <x:v>41625</x:v>
      </x:c>
      <x:c r="M1013" t="n">
        <x:v>179</x:v>
      </x:c>
      <x:c r="N1013" t="str">
        <x:v>Biography</x:v>
      </x:c>
      <x:c r="O1013" t="str">
        <x:v>Martin Scorsese</x:v>
      </x:c>
      <x:c r="P1013" t="str">
        <x:v>Paramount Pictures</x:v>
      </x:c>
      <x:c r="Q1013" t="str">
        <x:v>United States</x:v>
      </x:c>
      <x:c r="R1013" t="str">
        <x:v>English</x:v>
      </x:c>
      <x:c r="S1013" t="n">
        <x:v>18</x:v>
      </x:c>
      <x:c r="T1013" t="n">
        <x:v>155000000</x:v>
      </x:c>
      <x:c r="U1013" t="n">
        <x:v>392000000</x:v>
      </x:c>
      <x:c r="V1013" t="n">
        <x:v>5</x:v>
      </x:c>
      <x:c r="W1013" t="n">
        <x:v>0</x:v>
      </x:c>
    </x:row>
    <x:row r="1014">
      <x:c r="J1014" t="n">
        <x:v>1485</x:v>
      </x:c>
      <x:c r="K1014" t="str">
        <x:v>Hugo</x:v>
      </x:c>
      <x:c r="L1014" t="n">
        <x:v>40826</x:v>
      </x:c>
      <x:c r="M1014" t="n">
        <x:v>126</x:v>
      </x:c>
      <x:c r="N1014" t="str">
        <x:v>Adventure</x:v>
      </x:c>
      <x:c r="O1014" t="str">
        <x:v>Martin Scorsese</x:v>
      </x:c>
      <x:c r="P1014" t="str">
        <x:v>Paramount Pictures</x:v>
      </x:c>
      <x:c r="Q1014" t="str">
        <x:v>United Kingdom</x:v>
      </x:c>
      <x:c r="R1014" t="str">
        <x:v>English</x:v>
      </x:c>
      <x:c r="S1014" t="str">
        <x:v>U</x:v>
      </x:c>
      <x:c r="T1014" t="n">
        <x:v>170000000</x:v>
      </x:c>
      <x:c r="U1014" t="n">
        <x:v>185800000</x:v>
      </x:c>
      <x:c r="V1014" t="n">
        <x:v>11</x:v>
      </x:c>
      <x:c r="W1014" t="n">
        <x:v>5</x:v>
      </x:c>
    </x:row>
    <x:row r="1015">
      <x:c r="J1015" t="n">
        <x:v>1486</x:v>
      </x:c>
      <x:c r="K1015" t="str">
        <x:v>Shutter Island</x:v>
      </x:c>
      <x:c r="L1015" t="n">
        <x:v>40228</x:v>
      </x:c>
      <x:c r="M1015" t="n">
        <x:v>138</x:v>
      </x:c>
      <x:c r="N1015" t="str">
        <x:v>Thriller</x:v>
      </x:c>
      <x:c r="O1015" t="str">
        <x:v>Martin Scorsese</x:v>
      </x:c>
      <x:c r="P1015" t="str">
        <x:v>Paramount Pictures</x:v>
      </x:c>
      <x:c r="Q1015" t="str">
        <x:v>United States</x:v>
      </x:c>
      <x:c r="R1015" t="str">
        <x:v>English</x:v>
      </x:c>
      <x:c r="S1015" t="n">
        <x:v>15</x:v>
      </x:c>
      <x:c r="T1015" t="n">
        <x:v>80000000</x:v>
      </x:c>
      <x:c r="U1015" t="n">
        <x:v>294800000</x:v>
      </x:c>
      <x:c r="V1015" t="n">
        <x:v>0</x:v>
      </x:c>
      <x:c r="W1015" t="n">
        <x:v>0</x:v>
      </x:c>
    </x:row>
    <x:row r="1016">
      <x:c r="J1016" t="n">
        <x:v>1487</x:v>
      </x:c>
      <x:c r="K1016" t="str">
        <x:v>Zoolander</x:v>
      </x:c>
      <x:c r="L1016" t="n">
        <x:v>37162</x:v>
      </x:c>
      <x:c r="M1016" t="n">
        <x:v>89</x:v>
      </x:c>
      <x:c r="N1016" t="str">
        <x:v>Comedy</x:v>
      </x:c>
      <x:c r="O1016" t="str">
        <x:v>Ben Stiller</x:v>
      </x:c>
      <x:c r="P1016" t="str">
        <x:v>Village Roadshow Pictures</x:v>
      </x:c>
      <x:c r="Q1016" t="str">
        <x:v>United States</x:v>
      </x:c>
      <x:c r="R1016" t="str">
        <x:v>English</x:v>
      </x:c>
      <x:c r="S1016" t="n">
        <x:v>12</x:v>
      </x:c>
      <x:c r="T1016" t="n">
        <x:v>28000000</x:v>
      </x:c>
      <x:c r="U1016" t="n">
        <x:v>60800000</x:v>
      </x:c>
      <x:c r="V1016" t="n">
        <x:v>0</x:v>
      </x:c>
      <x:c r="W1016" t="n">
        <x:v>0</x:v>
      </x:c>
    </x:row>
    <x:row r="1017">
      <x:c r="J1017" t="n">
        <x:v>1488</x:v>
      </x:c>
      <x:c r="K1017" t="str">
        <x:v>Labyrinth</x:v>
      </x:c>
      <x:c r="L1017" t="n">
        <x:v>31590</x:v>
      </x:c>
      <x:c r="M1017" t="n">
        <x:v>101</x:v>
      </x:c>
      <x:c r="N1017" t="str">
        <x:v>Fantasy</x:v>
      </x:c>
      <x:c r="O1017" t="str">
        <x:v>Jim Henson</x:v>
      </x:c>
      <x:c r="P1017" t="str">
        <x:v>Henson Associates</x:v>
      </x:c>
      <x:c r="Q1017" t="str">
        <x:v>United Kingdom</x:v>
      </x:c>
      <x:c r="R1017" t="str">
        <x:v>English</x:v>
      </x:c>
      <x:c r="S1017" t="str">
        <x:v>U</x:v>
      </x:c>
      <x:c r="T1017" t="n">
        <x:v>25000000</x:v>
      </x:c>
      <x:c r="U1017" t="n">
        <x:v>12900000</x:v>
      </x:c>
      <x:c r="V1017" t="n">
        <x:v>0</x:v>
      </x:c>
      <x:c r="W1017" t="n">
        <x:v>0</x:v>
      </x:c>
    </x:row>
    <x:row r="1018">
      <x:c r="J1018" t="n">
        <x:v>1489</x:v>
      </x:c>
      <x:c r="K1018" t="str">
        <x:v>Willow</x:v>
      </x:c>
      <x:c r="L1018" t="n">
        <x:v>32283</x:v>
      </x:c>
      <x:c r="M1018" t="n">
        <x:v>126</x:v>
      </x:c>
      <x:c r="N1018" t="str">
        <x:v>Fantasy</x:v>
      </x:c>
      <x:c r="O1018" t="str">
        <x:v>Ron Howard</x:v>
      </x:c>
      <x:c r="P1018" t="str">
        <x:v>Lucasfilm</x:v>
      </x:c>
      <x:c r="Q1018" t="str">
        <x:v>United States</x:v>
      </x:c>
      <x:c r="R1018" t="str">
        <x:v>English</x:v>
      </x:c>
      <x:c r="S1018" t="str">
        <x:v>PG</x:v>
      </x:c>
      <x:c r="T1018" t="n">
        <x:v>35000000</x:v>
      </x:c>
      <x:c r="U1018" t="n">
        <x:v>57300000</x:v>
      </x:c>
      <x:c r="V1018" t="n">
        <x:v>2</x:v>
      </x:c>
      <x:c r="W1018" t="n">
        <x:v>0</x:v>
      </x:c>
    </x:row>
    <x:row r="1019">
      <x:c r="J1019" t="n">
        <x:v>1490</x:v>
      </x:c>
      <x:c r="K1019" t="str">
        <x:v>Mad Max</x:v>
      </x:c>
      <x:c r="L1019" t="n">
        <x:v>28957</x:v>
      </x:c>
      <x:c r="M1019" t="n">
        <x:v>93</x:v>
      </x:c>
      <x:c r="N1019" t="str">
        <x:v>Action</x:v>
      </x:c>
      <x:c r="O1019" t="str">
        <x:v>George Miller</x:v>
      </x:c>
      <x:c r="P1019" t="str">
        <x:v>Kennedy Miller</x:v>
      </x:c>
      <x:c r="Q1019" t="str">
        <x:v>Australia</x:v>
      </x:c>
      <x:c r="R1019" t="str">
        <x:v>English</x:v>
      </x:c>
      <x:c r="S1019" t="n">
        <x:v>18</x:v>
      </x:c>
      <x:c r="T1019" t="n">
        <x:v>400000</x:v>
      </x:c>
      <x:c r="U1019" t="n">
        <x:v>100000000</x:v>
      </x:c>
      <x:c r="V1019" t="n">
        <x:v>0</x:v>
      </x:c>
      <x:c r="W1019" t="n">
        <x:v>0</x:v>
      </x:c>
    </x:row>
    <x:row r="1020">
      <x:c r="J1020" t="n">
        <x:v>1491</x:v>
      </x:c>
      <x:c r="K1020" t="str">
        <x:v>Mad Max 2</x:v>
      </x:c>
      <x:c r="L1020" t="n">
        <x:v>29944</x:v>
      </x:c>
      <x:c r="M1020" t="n">
        <x:v>96</x:v>
      </x:c>
      <x:c r="N1020" t="str">
        <x:v>Action</x:v>
      </x:c>
      <x:c r="O1020" t="str">
        <x:v>George Miller</x:v>
      </x:c>
      <x:c r="P1020" t="str">
        <x:v>Kennedy Miller</x:v>
      </x:c>
      <x:c r="Q1020" t="str">
        <x:v>Australia</x:v>
      </x:c>
      <x:c r="R1020" t="str">
        <x:v>English</x:v>
      </x:c>
      <x:c r="S1020" t="n">
        <x:v>18</x:v>
      </x:c>
      <x:c r="T1020" t="n">
        <x:v>4500000</x:v>
      </x:c>
      <x:c r="U1020" t="n">
        <x:v>23700000</x:v>
      </x:c>
      <x:c r="V1020" t="n">
        <x:v>0</x:v>
      </x:c>
      <x:c r="W1020" t="n">
        <x:v>0</x:v>
      </x:c>
    </x:row>
    <x:row r="1021">
      <x:c r="J1021" t="n">
        <x:v>1492</x:v>
      </x:c>
      <x:c r="K1021" t="str">
        <x:v>Mad Max Beyond Thunderdome</x:v>
      </x:c>
      <x:c r="L1021" t="n">
        <x:v>31238</x:v>
      </x:c>
      <x:c r="M1021" t="n">
        <x:v>107</x:v>
      </x:c>
      <x:c r="N1021" t="str">
        <x:v>Action</x:v>
      </x:c>
      <x:c r="O1021" t="str">
        <x:v>George Miller</x:v>
      </x:c>
      <x:c r="P1021" t="str">
        <x:v>Kennedy Miller</x:v>
      </x:c>
      <x:c r="Q1021" t="str">
        <x:v>Australia</x:v>
      </x:c>
      <x:c r="R1021" t="str">
        <x:v>English</x:v>
      </x:c>
      <x:c r="S1021" t="n">
        <x:v>15</x:v>
      </x:c>
      <x:c r="T1021" t="n">
        <x:v>10000000</x:v>
      </x:c>
      <x:c r="U1021" t="n">
        <x:v>36200000</x:v>
      </x:c>
      <x:c r="V1021" t="n">
        <x:v>0</x:v>
      </x:c>
      <x:c r="W1021" t="n">
        <x:v>0</x:v>
      </x:c>
    </x:row>
    <x:row r="1022">
      <x:c r="J1022" t="n">
        <x:v>1493</x:v>
      </x:c>
      <x:c r="K1022" t="str">
        <x:v>Mad Max: Fury Road</x:v>
      </x:c>
      <x:c r="L1022" t="n">
        <x:v>42131</x:v>
      </x:c>
      <x:c r="M1022" t="n">
        <x:v>120</x:v>
      </x:c>
      <x:c r="N1022" t="str">
        <x:v>Action</x:v>
      </x:c>
      <x:c r="O1022" t="str">
        <x:v>George Miller</x:v>
      </x:c>
      <x:c r="P1022" t="str">
        <x:v>Kennedy Miller</x:v>
      </x:c>
      <x:c r="Q1022" t="str">
        <x:v>Australia</x:v>
      </x:c>
      <x:c r="R1022" t="str">
        <x:v>English</x:v>
      </x:c>
      <x:c r="S1022" t="n">
        <x:v>15</x:v>
      </x:c>
      <x:c r="T1022" t="n">
        <x:v>150000000</x:v>
      </x:c>
      <x:c r="U1022" t="n">
        <x:v>378400000</x:v>
      </x:c>
      <x:c r="V1022" t="n">
        <x:v>10</x:v>
      </x:c>
      <x:c r="W1022" t="n">
        <x:v>6</x:v>
      </x:c>
    </x:row>
    <x:row r="1023">
      <x:c r="J1023" t="n">
        <x:v>1494</x:v>
      </x:c>
      <x:c r="K1023" t="str">
        <x:v>Happy Feet Two</x:v>
      </x:c>
      <x:c r="L1023" t="n">
        <x:v>40865</x:v>
      </x:c>
      <x:c r="M1023" t="n">
        <x:v>100</x:v>
      </x:c>
      <x:c r="N1023" t="str">
        <x:v>Animation</x:v>
      </x:c>
      <x:c r="O1023" t="str">
        <x:v>George Miller</x:v>
      </x:c>
      <x:c r="P1023" t="str">
        <x:v>Village Roadshow Pictures</x:v>
      </x:c>
      <x:c r="Q1023" t="str">
        <x:v>United States</x:v>
      </x:c>
      <x:c r="R1023" t="str">
        <x:v>English</x:v>
      </x:c>
      <x:c r="S1023" t="str">
        <x:v>U</x:v>
      </x:c>
      <x:c r="T1023" t="n">
        <x:v>135000000</x:v>
      </x:c>
      <x:c r="U1023" t="n">
        <x:v>150400000</x:v>
      </x:c>
      <x:c r="V1023" t="n">
        <x:v>0</x:v>
      </x:c>
      <x:c r="W1023" t="n">
        <x:v>0</x:v>
      </x:c>
    </x:row>
    <x:row r="1024">
      <x:c r="J1024" t="n">
        <x:v>1495</x:v>
      </x:c>
      <x:c r="K1024" t="str">
        <x:v>Zoolander 2</x:v>
      </x:c>
      <x:c r="L1024" t="n">
        <x:v>42404</x:v>
      </x:c>
      <x:c r="M1024" t="n">
        <x:v>102</x:v>
      </x:c>
      <x:c r="N1024" t="str">
        <x:v>Comedy</x:v>
      </x:c>
      <x:c r="O1024" t="str">
        <x:v>Ben Stiller</x:v>
      </x:c>
      <x:c r="P1024" t="str">
        <x:v>Paramount Pictures</x:v>
      </x:c>
      <x:c r="Q1024" t="str">
        <x:v>United States</x:v>
      </x:c>
      <x:c r="R1024" t="str">
        <x:v>English</x:v>
      </x:c>
      <x:c r="S1024" t="str">
        <x:v>12A</x:v>
      </x:c>
      <x:c r="T1024" t="n">
        <x:v>50000000</x:v>
      </x:c>
      <x:c r="U1024" t="n">
        <x:v>56000000</x:v>
      </x:c>
      <x:c r="V1024" t="n">
        <x:v>0</x:v>
      </x:c>
      <x:c r="W1024" t="n">
        <x:v>0</x:v>
      </x:c>
    </x:row>
    <x:row r="1025">
      <x:c r="J1025" t="n">
        <x:v>1496</x:v>
      </x:c>
      <x:c r="K1025" t="str">
        <x:v>Dune</x:v>
      </x:c>
      <x:c r="L1025" t="n">
        <x:v>31030</x:v>
      </x:c>
      <x:c r="M1025" t="n">
        <x:v>136</x:v>
      </x:c>
      <x:c r="N1025" t="str">
        <x:v>Science Fiction</x:v>
      </x:c>
      <x:c r="O1025" t="str">
        <x:v>David Lynch</x:v>
      </x:c>
      <x:c r="P1025" t="str">
        <x:v>Dino De Laurentiis Corporation</x:v>
      </x:c>
      <x:c r="Q1025" t="str">
        <x:v>United States</x:v>
      </x:c>
      <x:c r="R1025" t="str">
        <x:v>English</x:v>
      </x:c>
      <x:c r="S1025" t="str">
        <x:v>PG</x:v>
      </x:c>
      <x:c r="T1025" t="n">
        <x:v>40000000</x:v>
      </x:c>
      <x:c r="U1025" t="n">
        <x:v>30900000</x:v>
      </x:c>
      <x:c r="V1025" t="n">
        <x:v>1</x:v>
      </x:c>
      <x:c r="W1025" t="n">
        <x:v>0</x:v>
      </x:c>
    </x:row>
    <x:row r="1026">
      <x:c r="J1026" t="n">
        <x:v>1497</x:v>
      </x:c>
      <x:c r="K1026" t="str">
        <x:v>Gods of Egypt</x:v>
      </x:c>
      <x:c r="L1026" t="n">
        <x:v>42425</x:v>
      </x:c>
      <x:c r="M1026" t="n">
        <x:v>127</x:v>
      </x:c>
      <x:c r="N1026" t="str">
        <x:v>Fantasy</x:v>
      </x:c>
      <x:c r="O1026" t="str">
        <x:v>Alex Proyas</x:v>
      </x:c>
      <x:c r="P1026" t="str">
        <x:v>Summit Entertainment</x:v>
      </x:c>
      <x:c r="Q1026" t="str">
        <x:v>United States</x:v>
      </x:c>
      <x:c r="R1026" t="str">
        <x:v>English</x:v>
      </x:c>
      <x:c r="S1026" t="str">
        <x:v>12A</x:v>
      </x:c>
      <x:c r="T1026"/>
      <x:c r="U1026"/>
      <x:c r="V1026" t="n">
        <x:v>0</x:v>
      </x:c>
      <x:c r="W1026" t="n">
        <x:v>0</x:v>
      </x:c>
    </x:row>
    <x:row r="1027">
      <x:c r="J1027" t="n">
        <x:v>1498</x:v>
      </x:c>
      <x:c r="K1027" t="str">
        <x:v>The Nice Guys</x:v>
      </x:c>
      <x:c r="L1027" t="n">
        <x:v>42505</x:v>
      </x:c>
      <x:c r="M1027" t="n">
        <x:v>116</x:v>
      </x:c>
      <x:c r="N1027" t="str">
        <x:v>Comedy</x:v>
      </x:c>
      <x:c r="O1027" t="str">
        <x:v>Shane Black</x:v>
      </x:c>
      <x:c r="P1027" t="str">
        <x:v>Silver Pictures</x:v>
      </x:c>
      <x:c r="Q1027" t="str">
        <x:v>United States</x:v>
      </x:c>
      <x:c r="R1027" t="str">
        <x:v>English</x:v>
      </x:c>
      <x:c r="S1027" t="n">
        <x:v>15</x:v>
      </x:c>
      <x:c r="T1027" t="n">
        <x:v>50000000</x:v>
      </x:c>
      <x:c r="U1027" t="n">
        <x:v>57300000</x:v>
      </x:c>
      <x:c r="V1027" t="n">
        <x:v>0</x:v>
      </x:c>
      <x:c r="W1027" t="n">
        <x:v>0</x:v>
      </x:c>
    </x:row>
    <x:row r="1028">
      <x:c r="J1028" t="n">
        <x:v>1499</x:v>
      </x:c>
      <x:c r="K1028" t="str">
        <x:v>Kiss Kiss Bang Bang</x:v>
      </x:c>
      <x:c r="L1028" t="n">
        <x:v>38486</x:v>
      </x:c>
      <x:c r="M1028" t="n">
        <x:v>103</x:v>
      </x:c>
      <x:c r="N1028" t="str">
        <x:v>Comedy</x:v>
      </x:c>
      <x:c r="O1028" t="str">
        <x:v>Shane Black</x:v>
      </x:c>
      <x:c r="P1028" t="str">
        <x:v>Silver Pictures</x:v>
      </x:c>
      <x:c r="Q1028" t="str">
        <x:v>United States</x:v>
      </x:c>
      <x:c r="R1028" t="str">
        <x:v>English</x:v>
      </x:c>
      <x:c r="S1028" t="n">
        <x:v>15</x:v>
      </x:c>
      <x:c r="T1028" t="n">
        <x:v>15000000</x:v>
      </x:c>
      <x:c r="U1028" t="n">
        <x:v>15800000</x:v>
      </x:c>
      <x:c r="V1028" t="n">
        <x:v>0</x:v>
      </x:c>
      <x:c r="W1028" t="n">
        <x:v>0</x:v>
      </x:c>
    </x:row>
    <x:row r="1029">
      <x:c r="J1029" t="n">
        <x:v>1500</x:v>
      </x:c>
      <x:c r="K1029" t="str">
        <x:v>Independence Day: Resurgence</x:v>
      </x:c>
      <x:c r="L1029" t="n">
        <x:v>42541</x:v>
      </x:c>
      <x:c r="M1029" t="n">
        <x:v>120</x:v>
      </x:c>
      <x:c r="N1029" t="str">
        <x:v>Science Fiction</x:v>
      </x:c>
      <x:c r="O1029" t="str">
        <x:v>Roland Emmerich</x:v>
      </x:c>
      <x:c r="P1029" t="str">
        <x:v>Centropolis Entertainment</x:v>
      </x:c>
      <x:c r="Q1029" t="str">
        <x:v>United States</x:v>
      </x:c>
      <x:c r="R1029" t="str">
        <x:v>English</x:v>
      </x:c>
      <x:c r="S1029" t="str">
        <x:v>12A</x:v>
      </x:c>
      <x:c r="T1029" t="n">
        <x:v>165000000</x:v>
      </x:c>
      <x:c r="U1029" t="n">
        <x:v>389700000</x:v>
      </x:c>
      <x:c r="V1029" t="n">
        <x:v>0</x:v>
      </x:c>
      <x:c r="W1029" t="n">
        <x:v>0</x:v>
      </x:c>
    </x:row>
    <x:row r="1030">
      <x:c r="J1030" t="n">
        <x:v>1501</x:v>
      </x:c>
      <x:c r="K1030" t="str">
        <x:v>Ghostbusters</x:v>
      </x:c>
      <x:c r="L1030" t="n">
        <x:v>42560</x:v>
      </x:c>
      <x:c r="M1030" t="n">
        <x:v>116</x:v>
      </x:c>
      <x:c r="N1030" t="str">
        <x:v>Comedy</x:v>
      </x:c>
      <x:c r="O1030" t="str">
        <x:v>Paul Feig</x:v>
      </x:c>
      <x:c r="P1030" t="str">
        <x:v>Village Roadshow Pictures</x:v>
      </x:c>
      <x:c r="Q1030" t="str">
        <x:v>United States</x:v>
      </x:c>
      <x:c r="R1030" t="str">
        <x:v>English</x:v>
      </x:c>
      <x:c r="S1030" t="str">
        <x:v>12A</x:v>
      </x:c>
      <x:c r="T1030" t="n">
        <x:v>144000000</x:v>
      </x:c>
      <x:c r="U1030" t="n">
        <x:v>229100000</x:v>
      </x:c>
      <x:c r="V1030" t="n">
        <x:v>0</x:v>
      </x:c>
      <x:c r="W1030" t="n">
        <x:v>0</x:v>
      </x:c>
    </x:row>
    <x:row r="1031">
      <x:c r="J1031" t="n">
        <x:v>1503</x:v>
      </x:c>
      <x:c r="K1031" t="str">
        <x:v>Jason Bourne</x:v>
      </x:c>
      <x:c r="L1031" t="n">
        <x:v>42562</x:v>
      </x:c>
      <x:c r="M1031" t="n">
        <x:v>123</x:v>
      </x:c>
      <x:c r="N1031" t="str">
        <x:v>Thriller</x:v>
      </x:c>
      <x:c r="O1031" t="str">
        <x:v>Paul Greengrass</x:v>
      </x:c>
      <x:c r="P1031" t="str">
        <x:v>The Kennedy Marshall Company</x:v>
      </x:c>
      <x:c r="Q1031" t="str">
        <x:v>United States</x:v>
      </x:c>
      <x:c r="R1031" t="str">
        <x:v>English</x:v>
      </x:c>
      <x:c r="S1031" t="str">
        <x:v>12A</x:v>
      </x:c>
      <x:c r="T1031" t="n">
        <x:v>120000000</x:v>
      </x:c>
      <x:c r="U1031" t="n">
        <x:v>415200000</x:v>
      </x:c>
      <x:c r="V1031" t="n">
        <x:v>0</x:v>
      </x:c>
      <x:c r="W1031" t="n">
        <x:v>0</x:v>
      </x:c>
    </x:row>
    <x:row r="1032">
      <x:c r="J1032" t="n">
        <x:v>1504</x:v>
      </x:c>
      <x:c r="K1032" t="str">
        <x:v>Sausage Party</x:v>
      </x:c>
      <x:c r="L1032" t="n">
        <x:v>42443</x:v>
      </x:c>
      <x:c r="M1032" t="n">
        <x:v>88</x:v>
      </x:c>
      <x:c r="N1032" t="str">
        <x:v>Animation</x:v>
      </x:c>
      <x:c r="O1032" t="str">
        <x:v>Conrad Vernon</x:v>
      </x:c>
      <x:c r="P1032" t="str">
        <x:v>Columbia Pictures</x:v>
      </x:c>
      <x:c r="Q1032" t="str">
        <x:v>United States</x:v>
      </x:c>
      <x:c r="R1032" t="str">
        <x:v>English</x:v>
      </x:c>
      <x:c r="S1032" t="n">
        <x:v>15</x:v>
      </x:c>
      <x:c r="T1032" t="n">
        <x:v>19000000</x:v>
      </x:c>
      <x:c r="U1032" t="n">
        <x:v>140200000</x:v>
      </x:c>
      <x:c r="V1032" t="n">
        <x:v>0</x:v>
      </x:c>
      <x:c r="W1032" t="n">
        <x:v>0</x:v>
      </x:c>
    </x:row>
    <x:row r="1033">
      <x:c r="J1033" t="n">
        <x:v>1505</x:v>
      </x:c>
      <x:c r="K1033" t="str">
        <x:v>Scott Pilgrim vs. the World</x:v>
      </x:c>
      <x:c r="L1033" t="n">
        <x:v>40386</x:v>
      </x:c>
      <x:c r="M1033" t="n">
        <x:v>112</x:v>
      </x:c>
      <x:c r="N1033" t="str">
        <x:v>Comedy</x:v>
      </x:c>
      <x:c r="O1033" t="str">
        <x:v>Edgar Wright</x:v>
      </x:c>
      <x:c r="P1033" t="str">
        <x:v>Big Talk Productions</x:v>
      </x:c>
      <x:c r="Q1033" t="str">
        <x:v>United Kingdom</x:v>
      </x:c>
      <x:c r="R1033" t="str">
        <x:v>English</x:v>
      </x:c>
      <x:c r="S1033" t="str">
        <x:v>12A</x:v>
      </x:c>
      <x:c r="T1033" t="n">
        <x:v>90000000</x:v>
      </x:c>
      <x:c r="U1033" t="n">
        <x:v>47700000</x:v>
      </x:c>
      <x:c r="V1033" t="n">
        <x:v>0</x:v>
      </x:c>
      <x:c r="W1033" t="n">
        <x:v>0</x:v>
      </x:c>
    </x:row>
    <x:row r="1034">
      <x:c r="J1034" t="n">
        <x:v>1506</x:v>
      </x:c>
      <x:c r="K1034" t="str">
        <x:v>Death Proof</x:v>
      </x:c>
      <x:c r="L1034" t="n">
        <x:v>39178</x:v>
      </x:c>
      <x:c r="M1034" t="n">
        <x:v>114</x:v>
      </x:c>
      <x:c r="N1034" t="str">
        <x:v>Thriller</x:v>
      </x:c>
      <x:c r="O1034" t="str">
        <x:v>Quentin Tarantino</x:v>
      </x:c>
      <x:c r="P1034" t="str">
        <x:v>Troublemaker Studios</x:v>
      </x:c>
      <x:c r="Q1034" t="str">
        <x:v>United States</x:v>
      </x:c>
      <x:c r="R1034" t="str">
        <x:v>English</x:v>
      </x:c>
      <x:c r="S1034" t="n">
        <x:v>18</x:v>
      </x:c>
      <x:c r="T1034"/>
      <x:c r="U1034" t="n">
        <x:v>30700000</x:v>
      </x:c>
      <x:c r="V1034" t="n">
        <x:v>0</x:v>
      </x:c>
      <x:c r="W1034" t="n">
        <x:v>0</x:v>
      </x:c>
    </x:row>
    <x:row r="1035">
      <x:c r="J1035" t="n">
        <x:v>1507</x:v>
      </x:c>
      <x:c r="K1035" t="str">
        <x:v>Jackie Brown</x:v>
      </x:c>
      <x:c r="L1035" t="n">
        <x:v>35789</x:v>
      </x:c>
      <x:c r="M1035" t="n">
        <x:v>154</x:v>
      </x:c>
      <x:c r="N1035" t="str">
        <x:v>Crime</x:v>
      </x:c>
      <x:c r="O1035" t="str">
        <x:v>Quentin Tarantino</x:v>
      </x:c>
      <x:c r="P1035" t="str">
        <x:v>A Band Apart</x:v>
      </x:c>
      <x:c r="Q1035" t="str">
        <x:v>United States</x:v>
      </x:c>
      <x:c r="R1035" t="str">
        <x:v>English</x:v>
      </x:c>
      <x:c r="S1035" t="n">
        <x:v>15</x:v>
      </x:c>
      <x:c r="T1035" t="n">
        <x:v>12000000</x:v>
      </x:c>
      <x:c r="U1035" t="n">
        <x:v>74700000</x:v>
      </x:c>
      <x:c r="V1035" t="n">
        <x:v>1</x:v>
      </x:c>
      <x:c r="W1035" t="n">
        <x:v>0</x:v>
      </x:c>
    </x:row>
    <x:row r="1036">
      <x:c r="J1036" t="n">
        <x:v>1508</x:v>
      </x:c>
      <x:c r="K1036" t="str">
        <x:v>Inglourious Basterds</x:v>
      </x:c>
      <x:c r="L1036" t="n">
        <x:v>39953</x:v>
      </x:c>
      <x:c r="M1036" t="n">
        <x:v>153</x:v>
      </x:c>
      <x:c r="N1036" t="str">
        <x:v>War</x:v>
      </x:c>
      <x:c r="O1036" t="str">
        <x:v>Quentin Tarantino</x:v>
      </x:c>
      <x:c r="P1036" t="str">
        <x:v>A Band Apart</x:v>
      </x:c>
      <x:c r="Q1036" t="str">
        <x:v>United States</x:v>
      </x:c>
      <x:c r="R1036" t="str">
        <x:v>English</x:v>
      </x:c>
      <x:c r="S1036" t="n">
        <x:v>18</x:v>
      </x:c>
      <x:c r="T1036" t="n">
        <x:v>70000000</x:v>
      </x:c>
      <x:c r="U1036" t="n">
        <x:v>321500000</x:v>
      </x:c>
      <x:c r="V1036" t="n">
        <x:v>8</x:v>
      </x:c>
      <x:c r="W1036" t="n">
        <x:v>1</x:v>
      </x:c>
    </x:row>
    <x:row r="1037">
      <x:c r="J1037" t="n">
        <x:v>1509</x:v>
      </x:c>
      <x:c r="K1037" t="str">
        <x:v>Django Unchained</x:v>
      </x:c>
      <x:c r="L1037" t="n">
        <x:v>41254</x:v>
      </x:c>
      <x:c r="M1037" t="n">
        <x:v>165</x:v>
      </x:c>
      <x:c r="N1037" t="str">
        <x:v>Western</x:v>
      </x:c>
      <x:c r="O1037" t="str">
        <x:v>Quentin Tarantino</x:v>
      </x:c>
      <x:c r="P1037" t="str">
        <x:v>Columbia Pictures</x:v>
      </x:c>
      <x:c r="Q1037" t="str">
        <x:v>United States</x:v>
      </x:c>
      <x:c r="R1037" t="str">
        <x:v>English</x:v>
      </x:c>
      <x:c r="S1037" t="n">
        <x:v>18</x:v>
      </x:c>
      <x:c r="T1037" t="n">
        <x:v>100000000</x:v>
      </x:c>
      <x:c r="U1037" t="n">
        <x:v>425400000</x:v>
      </x:c>
      <x:c r="V1037" t="n">
        <x:v>5</x:v>
      </x:c>
      <x:c r="W1037" t="n">
        <x:v>2</x:v>
      </x:c>
    </x:row>
    <x:row r="1038">
      <x:c r="J1038" t="n">
        <x:v>1510</x:v>
      </x:c>
      <x:c r="K1038" t="str">
        <x:v>The Hateful Eight</x:v>
      </x:c>
      <x:c r="L1038" t="n">
        <x:v>42345</x:v>
      </x:c>
      <x:c r="M1038" t="n">
        <x:v>168</x:v>
      </x:c>
      <x:c r="N1038" t="str">
        <x:v>Western</x:v>
      </x:c>
      <x:c r="O1038" t="str">
        <x:v>Quentin Tarantino</x:v>
      </x:c>
      <x:c r="P1038" t="str">
        <x:v>Double Feature Films</x:v>
      </x:c>
      <x:c r="Q1038" t="str">
        <x:v>United States</x:v>
      </x:c>
      <x:c r="R1038" t="str">
        <x:v>English</x:v>
      </x:c>
      <x:c r="S1038" t="n">
        <x:v>18</x:v>
      </x:c>
      <x:c r="T1038" t="n">
        <x:v>54000000</x:v>
      </x:c>
      <x:c r="U1038" t="n">
        <x:v>155800000</x:v>
      </x:c>
      <x:c r="V1038" t="n">
        <x:v>3</x:v>
      </x:c>
      <x:c r="W1038" t="n">
        <x:v>1</x:v>
      </x:c>
    </x:row>
    <x:row r="1039">
      <x:c r="J1039" t="n">
        <x:v>1511</x:v>
      </x:c>
      <x:c r="K1039" t="str">
        <x:v>Bill &amp; Ted's Excellent Adventure</x:v>
      </x:c>
      <x:c r="L1039" t="n">
        <x:v>32556</x:v>
      </x:c>
      <x:c r="M1039" t="n">
        <x:v>89</x:v>
      </x:c>
      <x:c r="N1039" t="str">
        <x:v>Adventure</x:v>
      </x:c>
      <x:c r="O1039" t="str">
        <x:v>Stephen Herek</x:v>
      </x:c>
      <x:c r="P1039" t="str">
        <x:v>Interscope Communications</x:v>
      </x:c>
      <x:c r="Q1039" t="str">
        <x:v>United States</x:v>
      </x:c>
      <x:c r="R1039" t="str">
        <x:v>English</x:v>
      </x:c>
      <x:c r="S1039" t="str">
        <x:v>PG</x:v>
      </x:c>
      <x:c r="T1039" t="n">
        <x:v>10000000</x:v>
      </x:c>
      <x:c r="U1039" t="n">
        <x:v>40500000</x:v>
      </x:c>
      <x:c r="V1039" t="n">
        <x:v>0</x:v>
      </x:c>
      <x:c r="W1039" t="n">
        <x:v>0</x:v>
      </x:c>
    </x:row>
    <x:row r="1040">
      <x:c r="J1040" t="n">
        <x:v>1512</x:v>
      </x:c>
      <x:c r="K1040" t="str">
        <x:v>Bill &amp; Ted's Bogus Journey</x:v>
      </x:c>
      <x:c r="L1040" t="n">
        <x:v>33438</x:v>
      </x:c>
      <x:c r="M1040" t="n">
        <x:v>93</x:v>
      </x:c>
      <x:c r="N1040" t="str">
        <x:v>Adventure</x:v>
      </x:c>
      <x:c r="O1040" t="str">
        <x:v>Peter Hewitt</x:v>
      </x:c>
      <x:c r="P1040" t="str">
        <x:v>Interscope Communications</x:v>
      </x:c>
      <x:c r="Q1040" t="str">
        <x:v>United States</x:v>
      </x:c>
      <x:c r="R1040" t="str">
        <x:v>English</x:v>
      </x:c>
      <x:c r="S1040" t="str">
        <x:v>PG</x:v>
      </x:c>
      <x:c r="T1040" t="n">
        <x:v>20000000</x:v>
      </x:c>
      <x:c r="U1040" t="n">
        <x:v>38000000</x:v>
      </x:c>
      <x:c r="V1040" t="n">
        <x:v>0</x:v>
      </x:c>
      <x:c r="W1040" t="n">
        <x:v>0</x:v>
      </x:c>
    </x:row>
    <x:row r="1041">
      <x:c r="J1041" t="n">
        <x:v>1513</x:v>
      </x:c>
      <x:c r="K1041" t="str">
        <x:v>The Magnificent Seven</x:v>
      </x:c>
      <x:c r="L1041" t="n">
        <x:v>22212</x:v>
      </x:c>
      <x:c r="M1041" t="n">
        <x:v>128</x:v>
      </x:c>
      <x:c r="N1041" t="str">
        <x:v>Western</x:v>
      </x:c>
      <x:c r="O1041" t="str">
        <x:v>John Sturges</x:v>
      </x:c>
      <x:c r="P1041" t="str">
        <x:v>The Mirisch Production Company</x:v>
      </x:c>
      <x:c r="Q1041" t="str">
        <x:v>United States</x:v>
      </x:c>
      <x:c r="R1041" t="str">
        <x:v>English</x:v>
      </x:c>
      <x:c r="S1041" t="str">
        <x:v>U</x:v>
      </x:c>
      <x:c r="T1041" t="n">
        <x:v>2000000</x:v>
      </x:c>
      <x:c r="U1041" t="n">
        <x:v>2250000</x:v>
      </x:c>
      <x:c r="V1041" t="n">
        <x:v>1</x:v>
      </x:c>
      <x:c r="W1041" t="n">
        <x:v>0</x:v>
      </x:c>
    </x:row>
    <x:row r="1042">
      <x:c r="J1042" t="n">
        <x:v>1514</x:v>
      </x:c>
      <x:c r="K1042" t="str">
        <x:v>The Magnificent Seven</x:v>
      </x:c>
      <x:c r="L1042" t="n">
        <x:v>42621</x:v>
      </x:c>
      <x:c r="M1042" t="n">
        <x:v>133</x:v>
      </x:c>
      <x:c r="N1042" t="str">
        <x:v>Western</x:v>
      </x:c>
      <x:c r="O1042" t="str">
        <x:v>Antoine Fuqua</x:v>
      </x:c>
      <x:c r="P1042" t="str">
        <x:v>Village Roadshow Pictures</x:v>
      </x:c>
      <x:c r="Q1042" t="str">
        <x:v>United States</x:v>
      </x:c>
      <x:c r="R1042" t="str">
        <x:v>English</x:v>
      </x:c>
      <x:c r="S1042" t="str">
        <x:v>12A</x:v>
      </x:c>
      <x:c r="T1042" t="n">
        <x:v>107600000</x:v>
      </x:c>
      <x:c r="U1042" t="n">
        <x:v>161000000</x:v>
      </x:c>
      <x:c r="V1042" t="n">
        <x:v>0</x:v>
      </x:c>
      <x:c r="W1042" t="n">
        <x:v>0</x:v>
      </x:c>
    </x:row>
    <x:row r="1043">
      <x:c r="J1043" t="n">
        <x:v>1515</x:v>
      </x:c>
      <x:c r="K1043" t="str">
        <x:v>The Replacement Killers</x:v>
      </x:c>
      <x:c r="L1043" t="n">
        <x:v>35832</x:v>
      </x:c>
      <x:c r="M1043" t="n">
        <x:v>87</x:v>
      </x:c>
      <x:c r="N1043" t="str">
        <x:v>Thriller</x:v>
      </x:c>
      <x:c r="O1043" t="str">
        <x:v>Antoine Fuqua</x:v>
      </x:c>
      <x:c r="P1043" t="str">
        <x:v>Columbia Pictures</x:v>
      </x:c>
      <x:c r="Q1043" t="str">
        <x:v>United States</x:v>
      </x:c>
      <x:c r="R1043" t="str">
        <x:v>English</x:v>
      </x:c>
      <x:c r="S1043" t="n">
        <x:v>18</x:v>
      </x:c>
      <x:c r="T1043" t="n">
        <x:v>30000000</x:v>
      </x:c>
      <x:c r="U1043" t="n">
        <x:v>19200000</x:v>
      </x:c>
      <x:c r="V1043" t="n">
        <x:v>0</x:v>
      </x:c>
      <x:c r="W1043" t="n">
        <x:v>0</x:v>
      </x:c>
    </x:row>
    <x:row r="1044">
      <x:c r="J1044" t="n">
        <x:v>1516</x:v>
      </x:c>
      <x:c r="K1044" t="str">
        <x:v>Training Day</x:v>
      </x:c>
      <x:c r="L1044" t="n">
        <x:v>37169</x:v>
      </x:c>
      <x:c r="M1044" t="n">
        <x:v>122</x:v>
      </x:c>
      <x:c r="N1044" t="str">
        <x:v>Crime</x:v>
      </x:c>
      <x:c r="O1044" t="str">
        <x:v>Antoine Fuqua</x:v>
      </x:c>
      <x:c r="P1044" t="str">
        <x:v>Village Roadshow Pictures</x:v>
      </x:c>
      <x:c r="Q1044" t="str">
        <x:v>United States</x:v>
      </x:c>
      <x:c r="R1044" t="str">
        <x:v>English</x:v>
      </x:c>
      <x:c r="S1044" t="n">
        <x:v>18</x:v>
      </x:c>
      <x:c r="T1044" t="n">
        <x:v>45000000</x:v>
      </x:c>
      <x:c r="U1044" t="n">
        <x:v>104900000</x:v>
      </x:c>
      <x:c r="V1044" t="n">
        <x:v>2</x:v>
      </x:c>
      <x:c r="W1044" t="n">
        <x:v>1</x:v>
      </x:c>
    </x:row>
    <x:row r="1045">
      <x:c r="J1045" t="n">
        <x:v>1517</x:v>
      </x:c>
      <x:c r="K1045" t="str">
        <x:v>Tears of the Sun</x:v>
      </x:c>
      <x:c r="L1045" t="n">
        <x:v>37687</x:v>
      </x:c>
      <x:c r="M1045" t="n">
        <x:v>121</x:v>
      </x:c>
      <x:c r="N1045" t="str">
        <x:v>War</x:v>
      </x:c>
      <x:c r="O1045" t="str">
        <x:v>Antoine Fuqua</x:v>
      </x:c>
      <x:c r="P1045" t="str">
        <x:v>Revolution Studios</x:v>
      </x:c>
      <x:c r="Q1045" t="str">
        <x:v>United States</x:v>
      </x:c>
      <x:c r="R1045" t="str">
        <x:v>English</x:v>
      </x:c>
      <x:c r="S1045" t="n">
        <x:v>15</x:v>
      </x:c>
      <x:c r="T1045" t="n">
        <x:v>75000000</x:v>
      </x:c>
      <x:c r="U1045" t="n">
        <x:v>86500000</x:v>
      </x:c>
      <x:c r="V1045" t="n">
        <x:v>0</x:v>
      </x:c>
      <x:c r="W1045" t="n">
        <x:v>0</x:v>
      </x:c>
    </x:row>
    <x:row r="1046">
      <x:c r="J1046" t="n">
        <x:v>1518</x:v>
      </x:c>
      <x:c r="K1046" t="str">
        <x:v>King Arthur</x:v>
      </x:c>
      <x:c r="L1046" t="n">
        <x:v>38175</x:v>
      </x:c>
      <x:c r="M1046" t="n">
        <x:v>142</x:v>
      </x:c>
      <x:c r="N1046" t="str">
        <x:v>Adventure</x:v>
      </x:c>
      <x:c r="O1046" t="str">
        <x:v>Antoine Fuqua</x:v>
      </x:c>
      <x:c r="P1046" t="str">
        <x:v>Touchstone Pictures</x:v>
      </x:c>
      <x:c r="Q1046" t="str">
        <x:v>United States</x:v>
      </x:c>
      <x:c r="R1046" t="str">
        <x:v>English</x:v>
      </x:c>
      <x:c r="S1046" t="str">
        <x:v>12A</x:v>
      </x:c>
      <x:c r="T1046" t="n">
        <x:v>120000000</x:v>
      </x:c>
      <x:c r="U1046" t="n">
        <x:v>203600000</x:v>
      </x:c>
      <x:c r="V1046" t="n">
        <x:v>0</x:v>
      </x:c>
      <x:c r="W1046" t="n">
        <x:v>0</x:v>
      </x:c>
    </x:row>
    <x:row r="1047">
      <x:c r="J1047" t="n">
        <x:v>1519</x:v>
      </x:c>
      <x:c r="K1047" t="str">
        <x:v>Shooter</x:v>
      </x:c>
      <x:c r="L1047" t="n">
        <x:v>39164</x:v>
      </x:c>
      <x:c r="M1047" t="n">
        <x:v>125</x:v>
      </x:c>
      <x:c r="N1047" t="str">
        <x:v>Action</x:v>
      </x:c>
      <x:c r="O1047" t="str">
        <x:v>Antoine Fuqua</x:v>
      </x:c>
      <x:c r="P1047" t="str">
        <x:v>di Bonaventura Pictures</x:v>
      </x:c>
      <x:c r="Q1047" t="str">
        <x:v>United States</x:v>
      </x:c>
      <x:c r="R1047" t="str">
        <x:v>English</x:v>
      </x:c>
      <x:c r="S1047" t="n">
        <x:v>15</x:v>
      </x:c>
      <x:c r="T1047" t="n">
        <x:v>61000000</x:v>
      </x:c>
      <x:c r="U1047" t="n">
        <x:v>95700000</x:v>
      </x:c>
      <x:c r="V1047" t="n">
        <x:v>0</x:v>
      </x:c>
      <x:c r="W1047" t="n">
        <x:v>0</x:v>
      </x:c>
    </x:row>
    <x:row r="1048">
      <x:c r="J1048" t="n">
        <x:v>1520</x:v>
      </x:c>
      <x:c r="K1048" t="str">
        <x:v>Olympus Has Fallen</x:v>
      </x:c>
      <x:c r="L1048" t="n">
        <x:v>41353</x:v>
      </x:c>
      <x:c r="M1048" t="n">
        <x:v>119</x:v>
      </x:c>
      <x:c r="N1048" t="str">
        <x:v>Action</x:v>
      </x:c>
      <x:c r="O1048" t="str">
        <x:v>Antoine Fuqua</x:v>
      </x:c>
      <x:c r="P1048" t="str">
        <x:v>Millennium Films</x:v>
      </x:c>
      <x:c r="Q1048" t="str">
        <x:v>United States</x:v>
      </x:c>
      <x:c r="R1048" t="str">
        <x:v>English</x:v>
      </x:c>
      <x:c r="S1048" t="n">
        <x:v>15</x:v>
      </x:c>
      <x:c r="T1048" t="n">
        <x:v>70000000</x:v>
      </x:c>
      <x:c r="U1048" t="n">
        <x:v>161000000</x:v>
      </x:c>
      <x:c r="V1048" t="n">
        <x:v>0</x:v>
      </x:c>
      <x:c r="W1048" t="n">
        <x:v>0</x:v>
      </x:c>
    </x:row>
    <x:row r="1049">
      <x:c r="J1049" t="n">
        <x:v>1521</x:v>
      </x:c>
      <x:c r="K1049" t="str">
        <x:v>The Equalizer</x:v>
      </x:c>
      <x:c r="L1049" t="n">
        <x:v>41889</x:v>
      </x:c>
      <x:c r="M1049" t="n">
        <x:v>132</x:v>
      </x:c>
      <x:c r="N1049" t="str">
        <x:v>Thriller</x:v>
      </x:c>
      <x:c r="O1049" t="str">
        <x:v>Antoine Fuqua</x:v>
      </x:c>
      <x:c r="P1049" t="str">
        <x:v>Village Roadshow Pictures</x:v>
      </x:c>
      <x:c r="Q1049" t="str">
        <x:v>United States</x:v>
      </x:c>
      <x:c r="R1049" t="str">
        <x:v>English</x:v>
      </x:c>
      <x:c r="S1049" t="n">
        <x:v>15</x:v>
      </x:c>
      <x:c r="T1049" t="n">
        <x:v>55000000</x:v>
      </x:c>
      <x:c r="U1049" t="n">
        <x:v>192300000</x:v>
      </x:c>
      <x:c r="V1049" t="n">
        <x:v>0</x:v>
      </x:c>
      <x:c r="W1049" t="n">
        <x:v>0</x:v>
      </x:c>
    </x:row>
    <x:row r="1050">
      <x:c r="J1050" t="n">
        <x:v>1522</x:v>
      </x:c>
      <x:c r="K1050" t="str">
        <x:v>Southpaw</x:v>
      </x:c>
      <x:c r="L1050" t="n">
        <x:v>42170</x:v>
      </x:c>
      <x:c r="M1050" t="n">
        <x:v>123</x:v>
      </x:c>
      <x:c r="N1050" t="str">
        <x:v>Drama</x:v>
      </x:c>
      <x:c r="O1050" t="str">
        <x:v>Antoine Fuqua</x:v>
      </x:c>
      <x:c r="P1050" t="str">
        <x:v>Fuqua Films</x:v>
      </x:c>
      <x:c r="Q1050" t="str">
        <x:v>United States</x:v>
      </x:c>
      <x:c r="R1050" t="str">
        <x:v>English</x:v>
      </x:c>
      <x:c r="S1050" t="n">
        <x:v>15</x:v>
      </x:c>
      <x:c r="T1050" t="n">
        <x:v>30000000</x:v>
      </x:c>
      <x:c r="U1050" t="n">
        <x:v>92000000</x:v>
      </x:c>
      <x:c r="V1050" t="n">
        <x:v>0</x:v>
      </x:c>
      <x:c r="W1050" t="n">
        <x:v>0</x:v>
      </x:c>
    </x:row>
    <x:row r="1051">
      <x:c r="J1051" t="n">
        <x:v>1523</x:v>
      </x:c>
      <x:c r="K1051" t="str">
        <x:v>Miss Peregrine's Home for Peculiar Children</x:v>
      </x:c>
      <x:c r="L1051" t="n">
        <x:v>42638</x:v>
      </x:c>
      <x:c r="M1051" t="n">
        <x:v>127</x:v>
      </x:c>
      <x:c r="N1051" t="str">
        <x:v>Fantasy</x:v>
      </x:c>
      <x:c r="O1051" t="str">
        <x:v>Tim Burton</x:v>
      </x:c>
      <x:c r="P1051" t="str">
        <x:v>Tim Burton Productions</x:v>
      </x:c>
      <x:c r="Q1051" t="str">
        <x:v>United States</x:v>
      </x:c>
      <x:c r="R1051" t="str">
        <x:v>English</x:v>
      </x:c>
      <x:c r="S1051" t="str">
        <x:v>12A</x:v>
      </x:c>
      <x:c r="T1051" t="n">
        <x:v>110000000</x:v>
      </x:c>
      <x:c r="U1051" t="n">
        <x:v>271900000</x:v>
      </x:c>
      <x:c r="V1051" t="n">
        <x:v>0</x:v>
      </x:c>
      <x:c r="W1051" t="n">
        <x:v>0</x:v>
      </x:c>
    </x:row>
    <x:row r="1052">
      <x:c r="J1052" t="n">
        <x:v>1524</x:v>
      </x:c>
      <x:c r="K1052" t="str">
        <x:v>Mars Attacks!</x:v>
      </x:c>
      <x:c r="L1052" t="n">
        <x:v>35412</x:v>
      </x:c>
      <x:c r="M1052" t="n">
        <x:v>106</x:v>
      </x:c>
      <x:c r="N1052" t="str">
        <x:v>Science Fiction</x:v>
      </x:c>
      <x:c r="O1052" t="str">
        <x:v>Tim Burton</x:v>
      </x:c>
      <x:c r="P1052" t="str">
        <x:v>Tim Burton Productions</x:v>
      </x:c>
      <x:c r="Q1052" t="str">
        <x:v>United States</x:v>
      </x:c>
      <x:c r="R1052" t="str">
        <x:v>English</x:v>
      </x:c>
      <x:c r="S1052" t="n">
        <x:v>12</x:v>
      </x:c>
      <x:c r="T1052" t="n">
        <x:v>70000000</x:v>
      </x:c>
      <x:c r="U1052" t="n">
        <x:v>101400000</x:v>
      </x:c>
      <x:c r="V1052" t="n">
        <x:v>0</x:v>
      </x:c>
      <x:c r="W1052" t="n">
        <x:v>0</x:v>
      </x:c>
    </x:row>
    <x:row r="1053">
      <x:c r="J1053" t="n">
        <x:v>1525</x:v>
      </x:c>
      <x:c r="K1053" t="str">
        <x:v>Planet of the Apes</x:v>
      </x:c>
      <x:c r="L1053" t="n">
        <x:v>37099</x:v>
      </x:c>
      <x:c r="M1053" t="n">
        <x:v>120</x:v>
      </x:c>
      <x:c r="N1053" t="str">
        <x:v>Science Fiction</x:v>
      </x:c>
      <x:c r="O1053" t="str">
        <x:v>Tim Burton</x:v>
      </x:c>
      <x:c r="P1053" t="str">
        <x:v>The Zanuck Company</x:v>
      </x:c>
      <x:c r="Q1053" t="str">
        <x:v>United States</x:v>
      </x:c>
      <x:c r="R1053" t="str">
        <x:v>English</x:v>
      </x:c>
      <x:c r="S1053" t="n">
        <x:v>12</x:v>
      </x:c>
      <x:c r="T1053" t="n">
        <x:v>100000000</x:v>
      </x:c>
      <x:c r="U1053" t="n">
        <x:v>362200000</x:v>
      </x:c>
      <x:c r="V1053" t="n">
        <x:v>0</x:v>
      </x:c>
      <x:c r="W1053" t="n">
        <x:v>0</x:v>
      </x:c>
    </x:row>
    <x:row r="1054">
      <x:c r="J1054" t="n">
        <x:v>1526</x:v>
      </x:c>
      <x:c r="K1054" t="str">
        <x:v>Big Fish</x:v>
      </x:c>
      <x:c r="L1054" t="n">
        <x:v>37965</x:v>
      </x:c>
      <x:c r="M1054" t="n">
        <x:v>125</x:v>
      </x:c>
      <x:c r="N1054" t="str">
        <x:v>Fantasy</x:v>
      </x:c>
      <x:c r="O1054" t="str">
        <x:v>Tim Burton</x:v>
      </x:c>
      <x:c r="P1054" t="str">
        <x:v>The Zanuck Company</x:v>
      </x:c>
      <x:c r="Q1054" t="str">
        <x:v>United States</x:v>
      </x:c>
      <x:c r="R1054" t="str">
        <x:v>English</x:v>
      </x:c>
      <x:c r="S1054" t="str">
        <x:v>PG</x:v>
      </x:c>
      <x:c r="T1054" t="n">
        <x:v>70000000</x:v>
      </x:c>
      <x:c r="U1054" t="n">
        <x:v>122900000</x:v>
      </x:c>
      <x:c r="V1054" t="n">
        <x:v>1</x:v>
      </x:c>
      <x:c r="W1054" t="n">
        <x:v>0</x:v>
      </x:c>
    </x:row>
    <x:row r="1055">
      <x:c r="J1055" t="n">
        <x:v>1527</x:v>
      </x:c>
      <x:c r="K1055" t="str">
        <x:v>Dark Shadows</x:v>
      </x:c>
      <x:c r="L1055" t="n">
        <x:v>41040</x:v>
      </x:c>
      <x:c r="M1055" t="n">
        <x:v>113</x:v>
      </x:c>
      <x:c r="N1055" t="str">
        <x:v>Comedy</x:v>
      </x:c>
      <x:c r="O1055" t="str">
        <x:v>Tim Burton</x:v>
      </x:c>
      <x:c r="P1055" t="str">
        <x:v>Village Roadshow Pictures</x:v>
      </x:c>
      <x:c r="Q1055" t="str">
        <x:v>United States</x:v>
      </x:c>
      <x:c r="R1055" t="str">
        <x:v>English</x:v>
      </x:c>
      <x:c r="S1055" t="str">
        <x:v>12A</x:v>
      </x:c>
      <x:c r="T1055" t="n">
        <x:v>150000000</x:v>
      </x:c>
      <x:c r="U1055" t="n">
        <x:v>245500000</x:v>
      </x:c>
      <x:c r="V1055" t="n">
        <x:v>0</x:v>
      </x:c>
      <x:c r="W1055" t="n">
        <x:v>0</x:v>
      </x:c>
    </x:row>
    <x:row r="1056">
      <x:c r="J1056" t="n">
        <x:v>1528</x:v>
      </x:c>
      <x:c r="K1056" t="str">
        <x:v>Watchmen</x:v>
      </x:c>
      <x:c r="L1056" t="n">
        <x:v>39867</x:v>
      </x:c>
      <x:c r="M1056" t="n">
        <x:v>163</x:v>
      </x:c>
      <x:c r="N1056" t="str">
        <x:v>Action</x:v>
      </x:c>
      <x:c r="O1056" t="str">
        <x:v>Zack Snyder</x:v>
      </x:c>
      <x:c r="P1056" t="str">
        <x:v>Legendary Pictures</x:v>
      </x:c>
      <x:c r="Q1056" t="str">
        <x:v>United States</x:v>
      </x:c>
      <x:c r="R1056" t="str">
        <x:v>English</x:v>
      </x:c>
      <x:c r="S1056" t="n">
        <x:v>18</x:v>
      </x:c>
      <x:c r="T1056" t="n">
        <x:v>130000000</x:v>
      </x:c>
      <x:c r="U1056" t="n">
        <x:v>185300000</x:v>
      </x:c>
      <x:c r="V1056" t="n">
        <x:v>0</x:v>
      </x:c>
      <x:c r="W1056" t="n">
        <x:v>0</x:v>
      </x:c>
    </x:row>
    <x:row r="1057">
      <x:c r="J1057" t="n">
        <x:v>1529</x:v>
      </x:c>
      <x:c r="K1057" t="str">
        <x:v>Man of Steel</x:v>
      </x:c>
      <x:c r="L1057" t="n">
        <x:v>41435</x:v>
      </x:c>
      <x:c r="M1057" t="n">
        <x:v>143</x:v>
      </x:c>
      <x:c r="N1057" t="str">
        <x:v>Action</x:v>
      </x:c>
      <x:c r="O1057" t="str">
        <x:v>Zack Snyder</x:v>
      </x:c>
      <x:c r="P1057" t="str">
        <x:v>Legendary Pictures</x:v>
      </x:c>
      <x:c r="Q1057" t="str">
        <x:v>United States</x:v>
      </x:c>
      <x:c r="R1057" t="str">
        <x:v>English</x:v>
      </x:c>
      <x:c r="S1057" t="str">
        <x:v>12A</x:v>
      </x:c>
      <x:c r="T1057" t="n">
        <x:v>225000000</x:v>
      </x:c>
      <x:c r="U1057" t="n">
        <x:v>668000000</x:v>
      </x:c>
      <x:c r="V1057" t="n">
        <x:v>0</x:v>
      </x:c>
      <x:c r="W1057" t="n">
        <x:v>0</x:v>
      </x:c>
    </x:row>
    <x:row r="1058">
      <x:c r="J1058" t="n">
        <x:v>1530</x:v>
      </x:c>
      <x:c r="K1058" t="str">
        <x:v>Sucker Punch</x:v>
      </x:c>
      <x:c r="L1058" t="n">
        <x:v>40627</x:v>
      </x:c>
      <x:c r="M1058" t="n">
        <x:v>109</x:v>
      </x:c>
      <x:c r="N1058" t="str">
        <x:v>Action</x:v>
      </x:c>
      <x:c r="O1058" t="str">
        <x:v>Zack Snyder</x:v>
      </x:c>
      <x:c r="P1058" t="str">
        <x:v>Legendary Pictures</x:v>
      </x:c>
      <x:c r="Q1058" t="str">
        <x:v>United States</x:v>
      </x:c>
      <x:c r="R1058" t="str">
        <x:v>English</x:v>
      </x:c>
      <x:c r="S1058" t="str">
        <x:v>12A</x:v>
      </x:c>
      <x:c r="T1058" t="n">
        <x:v>82000000</x:v>
      </x:c>
      <x:c r="U1058" t="n">
        <x:v>89800000</x:v>
      </x:c>
      <x:c r="V1058" t="n">
        <x:v>0</x:v>
      </x:c>
      <x:c r="W1058" t="n">
        <x:v>0</x:v>
      </x:c>
    </x:row>
    <x:row r="1059">
      <x:c r="J1059" t="n">
        <x:v>1531</x:v>
      </x:c>
      <x:c r="K1059" t="str">
        <x:v>Dawn of the Dead</x:v>
      </x:c>
      <x:c r="L1059" t="n">
        <x:v>38065</x:v>
      </x:c>
      <x:c r="M1059" t="n">
        <x:v>100</x:v>
      </x:c>
      <x:c r="N1059" t="str">
        <x:v>Horror</x:v>
      </x:c>
      <x:c r="O1059" t="str">
        <x:v>Zack Snyder</x:v>
      </x:c>
      <x:c r="P1059" t="str">
        <x:v>Strike Entertainment</x:v>
      </x:c>
      <x:c r="Q1059" t="str">
        <x:v>United States</x:v>
      </x:c>
      <x:c r="R1059" t="str">
        <x:v>English</x:v>
      </x:c>
      <x:c r="S1059" t="n">
        <x:v>18</x:v>
      </x:c>
      <x:c r="T1059" t="n">
        <x:v>26000000</x:v>
      </x:c>
      <x:c r="U1059" t="n">
        <x:v>102400000</x:v>
      </x:c>
      <x:c r="V1059" t="n">
        <x:v>0</x:v>
      </x:c>
      <x:c r="W1059" t="n">
        <x:v>0</x:v>
      </x:c>
    </x:row>
    <x:row r="1060">
      <x:c r="J1060" t="n">
        <x:v>1532</x:v>
      </x:c>
      <x:c r="K1060" t="str">
        <x:v>Jack Reacher: Never Go Back</x:v>
      </x:c>
      <x:c r="L1060" t="n">
        <x:v>42659</x:v>
      </x:c>
      <x:c r="M1060" t="n">
        <x:v>118</x:v>
      </x:c>
      <x:c r="N1060" t="str">
        <x:v>Thriller</x:v>
      </x:c>
      <x:c r="O1060" t="str">
        <x:v>Edward Zwick</x:v>
      </x:c>
      <x:c r="P1060" t="str">
        <x:v>Paramount Pictures</x:v>
      </x:c>
      <x:c r="Q1060" t="str">
        <x:v>United States</x:v>
      </x:c>
      <x:c r="R1060" t="str">
        <x:v>English</x:v>
      </x:c>
      <x:c r="S1060" t="str">
        <x:v>12A</x:v>
      </x:c>
      <x:c r="T1060" t="n">
        <x:v>60000000</x:v>
      </x:c>
      <x:c r="U1060" t="n">
        <x:v>156200000</x:v>
      </x:c>
      <x:c r="V1060" t="n">
        <x:v>0</x:v>
      </x:c>
      <x:c r="W1060" t="n">
        <x:v>0</x:v>
      </x:c>
    </x:row>
    <x:row r="1061">
      <x:c r="J1061" t="n">
        <x:v>1533</x:v>
      </x:c>
      <x:c r="K1061" t="str">
        <x:v>Jack Reacher</x:v>
      </x:c>
      <x:c r="L1061" t="n">
        <x:v>41264</x:v>
      </x:c>
      <x:c r="M1061" t="n">
        <x:v>130</x:v>
      </x:c>
      <x:c r="N1061" t="str">
        <x:v>Thriller</x:v>
      </x:c>
      <x:c r="O1061" t="str">
        <x:v>Christopher McQuarrie</x:v>
      </x:c>
      <x:c r="P1061" t="str">
        <x:v>Paramount Pictures</x:v>
      </x:c>
      <x:c r="Q1061" t="str">
        <x:v>United States</x:v>
      </x:c>
      <x:c r="R1061" t="str">
        <x:v>English</x:v>
      </x:c>
      <x:c r="S1061" t="n">
        <x:v>15</x:v>
      </x:c>
      <x:c r="T1061" t="n">
        <x:v>60000000</x:v>
      </x:c>
      <x:c r="U1061" t="n">
        <x:v>218300000</x:v>
      </x:c>
      <x:c r="V1061" t="n">
        <x:v>0</x:v>
      </x:c>
      <x:c r="W1061" t="n">
        <x:v>0</x:v>
      </x:c>
    </x:row>
    <x:row r="1062">
      <x:c r="J1062" t="n">
        <x:v>1534</x:v>
      </x:c>
      <x:c r="K1062" t="str">
        <x:v>The Way of the Gun</x:v>
      </x:c>
      <x:c r="L1062" t="n">
        <x:v>36777</x:v>
      </x:c>
      <x:c r="M1062" t="n">
        <x:v>119</x:v>
      </x:c>
      <x:c r="N1062" t="str">
        <x:v>Action</x:v>
      </x:c>
      <x:c r="O1062" t="str">
        <x:v>Christopher McQuarrie</x:v>
      </x:c>
      <x:c r="P1062" t="str">
        <x:v>Artisan Entertainment</x:v>
      </x:c>
      <x:c r="Q1062" t="str">
        <x:v>United States</x:v>
      </x:c>
      <x:c r="R1062" t="str">
        <x:v>English</x:v>
      </x:c>
      <x:c r="S1062" t="n">
        <x:v>18</x:v>
      </x:c>
      <x:c r="T1062" t="n">
        <x:v>8500000</x:v>
      </x:c>
      <x:c r="U1062" t="n">
        <x:v>13069000</x:v>
      </x:c>
      <x:c r="V1062" t="n">
        <x:v>0</x:v>
      </x:c>
      <x:c r="W1062" t="n">
        <x:v>0</x:v>
      </x:c>
    </x:row>
    <x:row r="1063">
      <x:c r="J1063" t="n">
        <x:v>1535</x:v>
      </x:c>
      <x:c r="K1063" t="str">
        <x:v>Fantastic Beasts and Where to Find Them</x:v>
      </x:c>
      <x:c r="L1063" t="n">
        <x:v>42684</x:v>
      </x:c>
      <x:c r="M1063" t="n">
        <x:v>133</x:v>
      </x:c>
      <x:c r="N1063" t="str">
        <x:v>Fantasy</x:v>
      </x:c>
      <x:c r="O1063" t="str">
        <x:v>David Yates</x:v>
      </x:c>
      <x:c r="P1063" t="str">
        <x:v>Heyday Films</x:v>
      </x:c>
      <x:c r="Q1063" t="str">
        <x:v>United Kingdom</x:v>
      </x:c>
      <x:c r="R1063" t="str">
        <x:v>English</x:v>
      </x:c>
      <x:c r="S1063" t="str">
        <x:v>12A</x:v>
      </x:c>
      <x:c r="T1063" t="n">
        <x:v>180000000</x:v>
      </x:c>
      <x:c r="U1063" t="n">
        <x:v>615800000</x:v>
      </x:c>
      <x:c r="V1063" t="n">
        <x:v>0</x:v>
      </x:c>
      <x:c r="W1063" t="n">
        <x:v>0</x:v>
      </x:c>
    </x:row>
    <x:row r="1064">
      <x:c r="J1064" t="n">
        <x:v>1536</x:v>
      </x:c>
      <x:c r="K1064" t="str">
        <x:v>Moana</x:v>
      </x:c>
      <x:c r="L1064" t="n">
        <x:v>42688</x:v>
      </x:c>
      <x:c r="M1064" t="n">
        <x:v>107</x:v>
      </x:c>
      <x:c r="N1064" t="str">
        <x:v>Animation</x:v>
      </x:c>
      <x:c r="O1064" t="str">
        <x:v>Ron Clements</x:v>
      </x:c>
      <x:c r="P1064" t="str">
        <x:v>Walt Disney Pictures</x:v>
      </x:c>
      <x:c r="Q1064" t="str">
        <x:v>United States</x:v>
      </x:c>
      <x:c r="R1064" t="str">
        <x:v>English</x:v>
      </x:c>
      <x:c r="S1064" t="str">
        <x:v>PG</x:v>
      </x:c>
      <x:c r="T1064" t="n">
        <x:v>150000000</x:v>
      </x:c>
      <x:c r="U1064" t="n">
        <x:v>190100000</x:v>
      </x:c>
      <x:c r="V1064" t="n">
        <x:v>0</x:v>
      </x:c>
      <x:c r="W1064" t="n">
        <x:v>0</x:v>
      </x:c>
    </x:row>
    <x:row r="1065">
      <x:c r="J1065" t="n">
        <x:v>1537</x:v>
      </x:c>
      <x:c r="K1065" t="str">
        <x:v>Bad Santa</x:v>
      </x:c>
      <x:c r="L1065" t="n">
        <x:v>37951</x:v>
      </x:c>
      <x:c r="M1065" t="n">
        <x:v>91</x:v>
      </x:c>
      <x:c r="N1065" t="str">
        <x:v>Comedy</x:v>
      </x:c>
      <x:c r="O1065" t="str">
        <x:v>Terry Zwigoff</x:v>
      </x:c>
      <x:c r="P1065" t="str">
        <x:v>Dimension Films</x:v>
      </x:c>
      <x:c r="Q1065" t="str">
        <x:v>United States</x:v>
      </x:c>
      <x:c r="R1065" t="str">
        <x:v>English</x:v>
      </x:c>
      <x:c r="S1065" t="n">
        <x:v>15</x:v>
      </x:c>
      <x:c r="T1065" t="n">
        <x:v>23000000</x:v>
      </x:c>
      <x:c r="U1065" t="n">
        <x:v>76500000</x:v>
      </x:c>
      <x:c r="V1065" t="n">
        <x:v>0</x:v>
      </x:c>
      <x:c r="W1065" t="n">
        <x:v>0</x:v>
      </x:c>
    </x:row>
    <x:row r="1066">
      <x:c r="J1066" t="n">
        <x:v>1538</x:v>
      </x:c>
      <x:c r="K1066" t="str">
        <x:v>Bad Santa 2</x:v>
      </x:c>
      <x:c r="L1066" t="n">
        <x:v>42689</x:v>
      </x:c>
      <x:c r="M1066" t="n">
        <x:v>92</x:v>
      </x:c>
      <x:c r="N1066" t="str">
        <x:v>Comedy</x:v>
      </x:c>
      <x:c r="O1066" t="str">
        <x:v>Mark Waters</x:v>
      </x:c>
      <x:c r="P1066" t="str">
        <x:v>Miramax Films</x:v>
      </x:c>
      <x:c r="Q1066" t="str">
        <x:v>United States</x:v>
      </x:c>
      <x:c r="R1066" t="str">
        <x:v>English</x:v>
      </x:c>
      <x:c r="S1066" t="n">
        <x:v>15</x:v>
      </x:c>
      <x:c r="T1066" t="n">
        <x:v>26000000</x:v>
      </x:c>
      <x:c r="U1066" t="n">
        <x:v>22800000</x:v>
      </x:c>
      <x:c r="V1066" t="n">
        <x:v>0</x:v>
      </x:c>
      <x:c r="W1066" t="n">
        <x:v>0</x:v>
      </x:c>
    </x:row>
    <x:row r="1067">
      <x:c r="J1067" t="n">
        <x:v>1539</x:v>
      </x:c>
      <x:c r="K1067" t="str">
        <x:v>Rogue One: A Star Wars Story</x:v>
      </x:c>
      <x:c r="L1067" t="n">
        <x:v>42714</x:v>
      </x:c>
      <x:c r="M1067" t="n">
        <x:v>133</x:v>
      </x:c>
      <x:c r="N1067" t="str">
        <x:v>Science Fiction</x:v>
      </x:c>
      <x:c r="O1067" t="str">
        <x:v>Gareth Edwards</x:v>
      </x:c>
      <x:c r="P1067" t="str">
        <x:v>Lucasfilm</x:v>
      </x:c>
      <x:c r="Q1067" t="str">
        <x:v>United States</x:v>
      </x:c>
      <x:c r="R1067" t="str">
        <x:v>English</x:v>
      </x:c>
      <x:c r="S1067" t="str">
        <x:v>12A</x:v>
      </x:c>
      <x:c r="T1067" t="n">
        <x:v>200000000</x:v>
      </x:c>
      <x:c r="U1067" t="n">
        <x:v>388100000</x:v>
      </x:c>
      <x:c r="V1067" t="n">
        <x:v>0</x:v>
      </x:c>
      <x:c r="W1067" t="n">
        <x:v>0</x:v>
      </x:c>
    </x:row>
    <x:row r="1068">
      <x:c r="J1068" t="n">
        <x:v>1540</x:v>
      </x:c>
      <x:c r="K1068" t="str">
        <x:v>Passengers</x:v>
      </x:c>
      <x:c r="L1068" t="n">
        <x:v>42725</x:v>
      </x:c>
      <x:c r="M1068" t="n">
        <x:v>116</x:v>
      </x:c>
      <x:c r="N1068" t="str">
        <x:v>Science Fiction</x:v>
      </x:c>
      <x:c r="O1068" t="str">
        <x:v>Morten Tyldum</x:v>
      </x:c>
      <x:c r="P1068" t="str">
        <x:v>Village Roadshow Pictures</x:v>
      </x:c>
      <x:c r="Q1068" t="str">
        <x:v>United States</x:v>
      </x:c>
      <x:c r="R1068" t="str">
        <x:v>English</x:v>
      </x:c>
      <x:c r="S1068" t="str">
        <x:v>12A</x:v>
      </x:c>
      <x:c r="T1068" t="n">
        <x:v>110000000</x:v>
      </x:c>
      <x:c r="U1068"/>
      <x:c r="V1068" t="n">
        <x:v>0</x:v>
      </x:c>
      <x:c r="W1068" t="n">
        <x:v>0</x:v>
      </x:c>
    </x:row>
    <x:row r="1069">
      <x:c r="J1069" t="n">
        <x:v>1541</x:v>
      </x:c>
      <x:c r="K1069" t="str">
        <x:v>The Imitation Game</x:v>
      </x:c>
      <x:c r="L1069" t="n">
        <x:v>41880</x:v>
      </x:c>
      <x:c r="M1069" t="n">
        <x:v>114</x:v>
      </x:c>
      <x:c r="N1069" t="str">
        <x:v>Biography</x:v>
      </x:c>
      <x:c r="O1069" t="str">
        <x:v>Morten Tyldum</x:v>
      </x:c>
      <x:c r="P1069" t="str">
        <x:v>Black Bear Pictures</x:v>
      </x:c>
      <x:c r="Q1069" t="str">
        <x:v>United States</x:v>
      </x:c>
      <x:c r="R1069" t="str">
        <x:v>English</x:v>
      </x:c>
      <x:c r="S1069" t="str">
        <x:v>12A</x:v>
      </x:c>
      <x:c r="T1069" t="n">
        <x:v>14000000</x:v>
      </x:c>
      <x:c r="U1069" t="n">
        <x:v>233600000</x:v>
      </x:c>
      <x:c r="V1069" t="n">
        <x:v>8</x:v>
      </x:c>
      <x:c r="W1069" t="n">
        <x:v>1</x:v>
      </x:c>
    </x:row>
    <x:row r="1070">
      <x:c r="J1070" t="n">
        <x:v>1542</x:v>
      </x:c>
      <x:c r="K1070" t="str">
        <x:v>Ex Machina</x:v>
      </x:c>
      <x:c r="L1070" t="n">
        <x:v>42025</x:v>
      </x:c>
      <x:c r="M1070" t="n">
        <x:v>108</x:v>
      </x:c>
      <x:c r="N1070" t="str">
        <x:v>Science Fiction</x:v>
      </x:c>
      <x:c r="O1070" t="str">
        <x:v>Alex Garland</x:v>
      </x:c>
      <x:c r="P1070" t="str">
        <x:v>FilmFour Productions</x:v>
      </x:c>
      <x:c r="Q1070" t="str">
        <x:v>United Kingdom</x:v>
      </x:c>
      <x:c r="R1070" t="str">
        <x:v>English</x:v>
      </x:c>
      <x:c r="S1070" t="n">
        <x:v>15</x:v>
      </x:c>
      <x:c r="T1070" t="n">
        <x:v>15000000</x:v>
      </x:c>
      <x:c r="U1070" t="n">
        <x:v>36900000</x:v>
      </x:c>
      <x:c r="V1070" t="n">
        <x:v>2</x:v>
      </x:c>
      <x:c r="W1070" t="n">
        <x:v>1</x:v>
      </x:c>
    </x:row>
    <x:row r="1071">
      <x:c r="J1071" t="n">
        <x:v>1543</x:v>
      </x:c>
      <x:c r="K1071" t="str">
        <x:v>Anna Karenina</x:v>
      </x:c>
      <x:c r="L1071" t="n">
        <x:v>41159</x:v>
      </x:c>
      <x:c r="M1071" t="n">
        <x:v>130</x:v>
      </x:c>
      <x:c r="N1071" t="str">
        <x:v>Romance</x:v>
      </x:c>
      <x:c r="O1071" t="str">
        <x:v>Joe Wright</x:v>
      </x:c>
      <x:c r="P1071" t="str">
        <x:v>StudioCanal</x:v>
      </x:c>
      <x:c r="Q1071" t="str">
        <x:v>United Kingdom</x:v>
      </x:c>
      <x:c r="R1071" t="str">
        <x:v>English</x:v>
      </x:c>
      <x:c r="S1071" t="str">
        <x:v>12A</x:v>
      </x:c>
      <x:c r="T1071" t="n">
        <x:v>31000000</x:v>
      </x:c>
      <x:c r="U1071" t="n">
        <x:v>69000000</x:v>
      </x:c>
      <x:c r="V1071" t="n">
        <x:v>4</x:v>
      </x:c>
      <x:c r="W1071" t="n">
        <x:v>1</x:v>
      </x:c>
    </x:row>
    <x:row r="1072">
      <x:c r="J1072" t="n">
        <x:v>1544</x:v>
      </x:c>
      <x:c r="K1072" t="str">
        <x:v>Anna Karenina</x:v>
      </x:c>
      <x:c r="L1072" t="n">
        <x:v>35524</x:v>
      </x:c>
      <x:c r="M1072" t="n">
        <x:v>108</x:v>
      </x:c>
      <x:c r="N1072" t="str">
        <x:v>Romance</x:v>
      </x:c>
      <x:c r="O1072" t="str">
        <x:v>Bernard Rose</x:v>
      </x:c>
      <x:c r="P1072" t="str">
        <x:v>Icon Productions</x:v>
      </x:c>
      <x:c r="Q1072" t="str">
        <x:v>United States</x:v>
      </x:c>
      <x:c r="R1072" t="str">
        <x:v>English</x:v>
      </x:c>
      <x:c r="S1072" t="n">
        <x:v>15</x:v>
      </x:c>
      <x:c r="T1072"/>
      <x:c r="U1072" t="n">
        <x:v>2200000</x:v>
      </x:c>
      <x:c r="V1072" t="n">
        <x:v>0</x:v>
      </x:c>
      <x:c r="W1072" t="n">
        <x:v>0</x:v>
      </x:c>
    </x:row>
    <x:row r="1073">
      <x:c r="J1073" t="n">
        <x:v>1545</x:v>
      </x:c>
      <x:c r="K1073" t="str">
        <x:v>Godzilla</x:v>
      </x:c>
      <x:c r="L1073" t="n">
        <x:v>41767</x:v>
      </x:c>
      <x:c r="M1073" t="n">
        <x:v>123</x:v>
      </x:c>
      <x:c r="N1073" t="str">
        <x:v>Action</x:v>
      </x:c>
      <x:c r="O1073" t="str">
        <x:v>Gareth Edwards</x:v>
      </x:c>
      <x:c r="P1073" t="str">
        <x:v>Legendary Pictures</x:v>
      </x:c>
      <x:c r="Q1073" t="str">
        <x:v>United States</x:v>
      </x:c>
      <x:c r="R1073" t="str">
        <x:v>English</x:v>
      </x:c>
      <x:c r="S1073" t="str">
        <x:v>12A</x:v>
      </x:c>
      <x:c r="T1073" t="n">
        <x:v>160000000</x:v>
      </x:c>
      <x:c r="U1073" t="n">
        <x:v>529100000</x:v>
      </x:c>
      <x:c r="V1073" t="n">
        <x:v>0</x:v>
      </x:c>
      <x:c r="W1073" t="n">
        <x:v>0</x:v>
      </x:c>
    </x:row>
    <x:row r="1074">
      <x:c r="J1074" t="n">
        <x:v>1546</x:v>
      </x:c>
      <x:c r="K1074" t="str">
        <x:v>Chocolat</x:v>
      </x:c>
      <x:c r="L1074" t="n">
        <x:v>36875</x:v>
      </x:c>
      <x:c r="M1074" t="n">
        <x:v>121</x:v>
      </x:c>
      <x:c r="N1074" t="str">
        <x:v>Romance</x:v>
      </x:c>
      <x:c r="O1074" t="str">
        <x:v>Lasse Hallstrom</x:v>
      </x:c>
      <x:c r="P1074" t="str">
        <x:v>Miramax Films</x:v>
      </x:c>
      <x:c r="Q1074" t="str">
        <x:v>United Kingdom</x:v>
      </x:c>
      <x:c r="R1074" t="str">
        <x:v>English</x:v>
      </x:c>
      <x:c r="S1074" t="n">
        <x:v>12</x:v>
      </x:c>
      <x:c r="T1074" t="n">
        <x:v>25000000</x:v>
      </x:c>
      <x:c r="U1074" t="n">
        <x:v>152699000</x:v>
      </x:c>
      <x:c r="V1074" t="n">
        <x:v>5</x:v>
      </x:c>
      <x:c r="W1074" t="n">
        <x:v>0</x:v>
      </x:c>
    </x:row>
    <x:row r="1075">
      <x:c r="J1075" t="n">
        <x:v>1547</x:v>
      </x:c>
      <x:c r="K1075" t="str">
        <x:v>The English Patient</x:v>
      </x:c>
      <x:c r="L1075" t="n">
        <x:v>35384</x:v>
      </x:c>
      <x:c r="M1075" t="n">
        <x:v>162</x:v>
      </x:c>
      <x:c r="N1075" t="str">
        <x:v>Romance</x:v>
      </x:c>
      <x:c r="O1075" t="str">
        <x:v>Anthony Minghella</x:v>
      </x:c>
      <x:c r="P1075" t="str">
        <x:v>Miramax Films</x:v>
      </x:c>
      <x:c r="Q1075" t="str">
        <x:v>United Kingdom</x:v>
      </x:c>
      <x:c r="R1075" t="str">
        <x:v>English</x:v>
      </x:c>
      <x:c r="S1075" t="n">
        <x:v>15</x:v>
      </x:c>
      <x:c r="T1075" t="n">
        <x:v>27000000</x:v>
      </x:c>
      <x:c r="U1075" t="n">
        <x:v>232000000</x:v>
      </x:c>
      <x:c r="V1075" t="n">
        <x:v>12</x:v>
      </x:c>
      <x:c r="W1075" t="n">
        <x:v>9</x:v>
      </x:c>
    </x:row>
    <x:row r="1076">
      <x:c r="J1076" t="n">
        <x:v>1548</x:v>
      </x:c>
      <x:c r="K1076" t="str">
        <x:v>Near Dark</x:v>
      </x:c>
      <x:c r="L1076" t="n">
        <x:v>32052</x:v>
      </x:c>
      <x:c r="M1076" t="n">
        <x:v>95</x:v>
      </x:c>
      <x:c r="N1076" t="str">
        <x:v>Horror</x:v>
      </x:c>
      <x:c r="O1076" t="str">
        <x:v>Kathryn Bigelow</x:v>
      </x:c>
      <x:c r="P1076" t="str">
        <x:v>Dino De Laurentiis Corporation</x:v>
      </x:c>
      <x:c r="Q1076" t="str">
        <x:v>United States</x:v>
      </x:c>
      <x:c r="R1076" t="str">
        <x:v>English</x:v>
      </x:c>
      <x:c r="S1076" t="n">
        <x:v>18</x:v>
      </x:c>
      <x:c r="T1076" t="n">
        <x:v>5000000</x:v>
      </x:c>
      <x:c r="U1076" t="n">
        <x:v>3400000</x:v>
      </x:c>
      <x:c r="V1076" t="n">
        <x:v>0</x:v>
      </x:c>
      <x:c r="W1076" t="n">
        <x:v>0</x:v>
      </x:c>
    </x:row>
    <x:row r="1077">
      <x:c r="J1077" t="n">
        <x:v>1549</x:v>
      </x:c>
      <x:c r="K1077" t="str">
        <x:v>Blue Steel</x:v>
      </x:c>
      <x:c r="L1077" t="n">
        <x:v>32948</x:v>
      </x:c>
      <x:c r="M1077" t="n">
        <x:v>101</x:v>
      </x:c>
      <x:c r="N1077" t="str">
        <x:v>Action</x:v>
      </x:c>
      <x:c r="O1077" t="str">
        <x:v>Kathryn Bigelow</x:v>
      </x:c>
      <x:c r="P1077" t="str">
        <x:v>Metro-Goldwyn-Mayer</x:v>
      </x:c>
      <x:c r="Q1077" t="str">
        <x:v>United States</x:v>
      </x:c>
      <x:c r="R1077" t="str">
        <x:v>English</x:v>
      </x:c>
      <x:c r="S1077" t="n">
        <x:v>18</x:v>
      </x:c>
      <x:c r="T1077"/>
      <x:c r="U1077" t="n">
        <x:v>8200000</x:v>
      </x:c>
      <x:c r="V1077" t="n">
        <x:v>0</x:v>
      </x:c>
      <x:c r="W1077" t="n">
        <x:v>0</x:v>
      </x:c>
    </x:row>
    <x:row r="1078">
      <x:c r="J1078" t="n">
        <x:v>1550</x:v>
      </x:c>
      <x:c r="K1078" t="str">
        <x:v>Point Break</x:v>
      </x:c>
      <x:c r="L1078" t="n">
        <x:v>33431</x:v>
      </x:c>
      <x:c r="M1078" t="n">
        <x:v>122</x:v>
      </x:c>
      <x:c r="N1078" t="str">
        <x:v>Action</x:v>
      </x:c>
      <x:c r="O1078" t="str">
        <x:v>Kathryn Bigelow</x:v>
      </x:c>
      <x:c r="P1078" t="str">
        <x:v>20th Century Fox</x:v>
      </x:c>
      <x:c r="Q1078" t="str">
        <x:v>United States</x:v>
      </x:c>
      <x:c r="R1078" t="str">
        <x:v>English</x:v>
      </x:c>
      <x:c r="S1078" t="n">
        <x:v>18</x:v>
      </x:c>
      <x:c r="T1078" t="n">
        <x:v>24000000</x:v>
      </x:c>
      <x:c r="U1078" t="n">
        <x:v>83500000</x:v>
      </x:c>
      <x:c r="V1078" t="n">
        <x:v>0</x:v>
      </x:c>
      <x:c r="W1078" t="n">
        <x:v>0</x:v>
      </x:c>
    </x:row>
    <x:row r="1079">
      <x:c r="J1079" t="n">
        <x:v>1551</x:v>
      </x:c>
      <x:c r="K1079" t="str">
        <x:v>Point Break</x:v>
      </x:c>
      <x:c r="L1079" t="n">
        <x:v>42342</x:v>
      </x:c>
      <x:c r="M1079" t="n">
        <x:v>114</x:v>
      </x:c>
      <x:c r="N1079" t="str">
        <x:v>Action</x:v>
      </x:c>
      <x:c r="O1079" t="str">
        <x:v>Ericson Core</x:v>
      </x:c>
      <x:c r="P1079" t="str">
        <x:v>Summit Entertainment</x:v>
      </x:c>
      <x:c r="Q1079" t="str">
        <x:v>United States</x:v>
      </x:c>
      <x:c r="R1079" t="str">
        <x:v>English</x:v>
      </x:c>
      <x:c r="S1079" t="str">
        <x:v>12A</x:v>
      </x:c>
      <x:c r="T1079" t="n">
        <x:v>105000000</x:v>
      </x:c>
      <x:c r="U1079" t="n">
        <x:v>133700000</x:v>
      </x:c>
      <x:c r="V1079" t="n">
        <x:v>0</x:v>
      </x:c>
      <x:c r="W1079" t="n">
        <x:v>0</x:v>
      </x:c>
    </x:row>
    <x:row r="1080">
      <x:c r="J1080" t="n">
        <x:v>1552</x:v>
      </x:c>
      <x:c r="K1080" t="str">
        <x:v>Invincible</x:v>
      </x:c>
      <x:c r="L1080" t="n">
        <x:v>38954</x:v>
      </x:c>
      <x:c r="M1080" t="n">
        <x:v>104</x:v>
      </x:c>
      <x:c r="N1080" t="str">
        <x:v>Sport</x:v>
      </x:c>
      <x:c r="O1080" t="str">
        <x:v>Ericson Core</x:v>
      </x:c>
      <x:c r="P1080" t="str">
        <x:v>Walt Disney Pictures</x:v>
      </x:c>
      <x:c r="Q1080" t="str">
        <x:v>United States</x:v>
      </x:c>
      <x:c r="R1080" t="str">
        <x:v>English</x:v>
      </x:c>
      <x:c r="S1080" t="str">
        <x:v>PG</x:v>
      </x:c>
      <x:c r="T1080" t="n">
        <x:v>30000000</x:v>
      </x:c>
      <x:c r="U1080" t="n">
        <x:v>58500000</x:v>
      </x:c>
      <x:c r="V1080" t="n">
        <x:v>0</x:v>
      </x:c>
      <x:c r="W1080" t="n">
        <x:v>0</x:v>
      </x:c>
    </x:row>
    <x:row r="1081">
      <x:c r="J1081" t="n">
        <x:v>1553</x:v>
      </x:c>
      <x:c r="K1081" t="str">
        <x:v>Strange Days</x:v>
      </x:c>
      <x:c r="L1081" t="n">
        <x:v>34985</x:v>
      </x:c>
      <x:c r="M1081" t="n">
        <x:v>145</x:v>
      </x:c>
      <x:c r="N1081" t="str">
        <x:v>Science Fiction</x:v>
      </x:c>
      <x:c r="O1081" t="str">
        <x:v>Kathryn Bigelow</x:v>
      </x:c>
      <x:c r="P1081" t="str">
        <x:v>Lightstorm Entertainment</x:v>
      </x:c>
      <x:c r="Q1081" t="str">
        <x:v>United States</x:v>
      </x:c>
      <x:c r="R1081" t="str">
        <x:v>English</x:v>
      </x:c>
      <x:c r="S1081" t="n">
        <x:v>18</x:v>
      </x:c>
      <x:c r="T1081" t="n">
        <x:v>42000000</x:v>
      </x:c>
      <x:c r="U1081" t="n">
        <x:v>8000000</x:v>
      </x:c>
      <x:c r="V1081" t="n">
        <x:v>0</x:v>
      </x:c>
      <x:c r="W1081" t="n">
        <x:v>0</x:v>
      </x:c>
    </x:row>
    <x:row r="1082">
      <x:c r="J1082" t="n">
        <x:v>1554</x:v>
      </x:c>
      <x:c r="K1082" t="str">
        <x:v>K-19: The Widowmaker</x:v>
      </x:c>
      <x:c r="L1082" t="n">
        <x:v>37456</x:v>
      </x:c>
      <x:c r="M1082" t="n">
        <x:v>138</x:v>
      </x:c>
      <x:c r="N1082" t="str">
        <x:v>Thriller</x:v>
      </x:c>
      <x:c r="O1082" t="str">
        <x:v>Kathryn Bigelow</x:v>
      </x:c>
      <x:c r="P1082" t="str">
        <x:v>Intermedia</x:v>
      </x:c>
      <x:c r="Q1082" t="str">
        <x:v>United States</x:v>
      </x:c>
      <x:c r="R1082" t="str">
        <x:v>English</x:v>
      </x:c>
      <x:c r="S1082" t="str">
        <x:v>12A</x:v>
      </x:c>
      <x:c r="T1082" t="n">
        <x:v>100000000</x:v>
      </x:c>
      <x:c r="U1082" t="n">
        <x:v>65700000</x:v>
      </x:c>
      <x:c r="V1082" t="n">
        <x:v>0</x:v>
      </x:c>
      <x:c r="W1082" t="n">
        <x:v>0</x:v>
      </x:c>
    </x:row>
    <x:row r="1083">
      <x:c r="J1083" t="n">
        <x:v>1555</x:v>
      </x:c>
      <x:c r="K1083" t="str">
        <x:v>The Hurt Locker</x:v>
      </x:c>
      <x:c r="L1083" t="n">
        <x:v>39695</x:v>
      </x:c>
      <x:c r="M1083" t="n">
        <x:v>131</x:v>
      </x:c>
      <x:c r="N1083" t="str">
        <x:v>War</x:v>
      </x:c>
      <x:c r="O1083" t="str">
        <x:v>Kathryn Bigelow</x:v>
      </x:c>
      <x:c r="P1083" t="str">
        <x:v>Summit Entertainment</x:v>
      </x:c>
      <x:c r="Q1083" t="str">
        <x:v>United States</x:v>
      </x:c>
      <x:c r="R1083" t="str">
        <x:v>English</x:v>
      </x:c>
      <x:c r="S1083" t="n">
        <x:v>15</x:v>
      </x:c>
      <x:c r="T1083" t="n">
        <x:v>15000000</x:v>
      </x:c>
      <x:c r="U1083" t="n">
        <x:v>49200000</x:v>
      </x:c>
      <x:c r="V1083" t="n">
        <x:v>9</x:v>
      </x:c>
      <x:c r="W1083" t="n">
        <x:v>6</x:v>
      </x:c>
    </x:row>
    <x:row r="1084">
      <x:c r="J1084" t="n">
        <x:v>1556</x:v>
      </x:c>
      <x:c r="K1084" t="str">
        <x:v>Zero Dark Thirty</x:v>
      </x:c>
      <x:c r="L1084" t="n">
        <x:v>41262</x:v>
      </x:c>
      <x:c r="M1084" t="n">
        <x:v>157</x:v>
      </x:c>
      <x:c r="N1084" t="str">
        <x:v>Thriller</x:v>
      </x:c>
      <x:c r="O1084" t="str">
        <x:v>Kathryn Bigelow</x:v>
      </x:c>
      <x:c r="P1084" t="str">
        <x:v>Columbia Pictures</x:v>
      </x:c>
      <x:c r="Q1084" t="str">
        <x:v>United States</x:v>
      </x:c>
      <x:c r="R1084" t="str">
        <x:v>English</x:v>
      </x:c>
      <x:c r="S1084" t="n">
        <x:v>15</x:v>
      </x:c>
      <x:c r="T1084" t="n">
        <x:v>40000000</x:v>
      </x:c>
      <x:c r="U1084" t="n">
        <x:v>132800000</x:v>
      </x:c>
      <x:c r="V1084" t="n">
        <x:v>5</x:v>
      </x:c>
      <x:c r="W1084" t="n">
        <x:v>1</x:v>
      </x:c>
    </x:row>
    <x:row r="1085">
      <x:c r="J1085" t="n">
        <x:v>1557</x:v>
      </x:c>
      <x:c r="K1085" t="str">
        <x:v>Lock, Stock and Two Smoking Barrels</x:v>
      </x:c>
      <x:c r="L1085" t="n">
        <x:v>36035</x:v>
      </x:c>
      <x:c r="M1085" t="n">
        <x:v>106</x:v>
      </x:c>
      <x:c r="N1085" t="str">
        <x:v>Crime</x:v>
      </x:c>
      <x:c r="O1085" t="str">
        <x:v>Guy Ritchie</x:v>
      </x:c>
      <x:c r="P1085" t="str">
        <x:v>Handmade Films</x:v>
      </x:c>
      <x:c r="Q1085" t="str">
        <x:v>United Kingdom</x:v>
      </x:c>
      <x:c r="R1085" t="str">
        <x:v>English</x:v>
      </x:c>
      <x:c r="S1085" t="n">
        <x:v>18</x:v>
      </x:c>
      <x:c r="T1085" t="n">
        <x:v>1350000</x:v>
      </x:c>
      <x:c r="U1085" t="n">
        <x:v>28100000</x:v>
      </x:c>
      <x:c r="V1085" t="n">
        <x:v>0</x:v>
      </x:c>
      <x:c r="W1085" t="n">
        <x:v>0</x:v>
      </x:c>
    </x:row>
    <x:row r="1086">
      <x:c r="J1086" t="n">
        <x:v>1558</x:v>
      </x:c>
      <x:c r="K1086" t="str">
        <x:v>Snatch</x:v>
      </x:c>
      <x:c r="L1086" t="n">
        <x:v>36761</x:v>
      </x:c>
      <x:c r="M1086" t="n">
        <x:v>102</x:v>
      </x:c>
      <x:c r="N1086" t="str">
        <x:v>Crime</x:v>
      </x:c>
      <x:c r="O1086" t="str">
        <x:v>Guy Ritchie</x:v>
      </x:c>
      <x:c r="P1086" t="str">
        <x:v>Columbia Pictures</x:v>
      </x:c>
      <x:c r="Q1086" t="str">
        <x:v>United Kingdom</x:v>
      </x:c>
      <x:c r="R1086" t="str">
        <x:v>English</x:v>
      </x:c>
      <x:c r="S1086" t="n">
        <x:v>18</x:v>
      </x:c>
      <x:c r="T1086" t="n">
        <x:v>10000000</x:v>
      </x:c>
      <x:c r="U1086" t="n">
        <x:v>83600000</x:v>
      </x:c>
      <x:c r="V1086" t="n">
        <x:v>0</x:v>
      </x:c>
      <x:c r="W1086" t="n">
        <x:v>0</x:v>
      </x:c>
    </x:row>
    <x:row r="1087">
      <x:c r="J1087" t="n">
        <x:v>1559</x:v>
      </x:c>
      <x:c r="K1087" t="str">
        <x:v>Revolver</x:v>
      </x:c>
      <x:c r="L1087" t="n">
        <x:v>38606</x:v>
      </x:c>
      <x:c r="M1087" t="n">
        <x:v>110</x:v>
      </x:c>
      <x:c r="N1087" t="str">
        <x:v>Crime</x:v>
      </x:c>
      <x:c r="O1087" t="str">
        <x:v>Guy Ritchie</x:v>
      </x:c>
      <x:c r="P1087" t="str">
        <x:v>EuropaCorp</x:v>
      </x:c>
      <x:c r="Q1087" t="str">
        <x:v>United Kingdom</x:v>
      </x:c>
      <x:c r="R1087" t="str">
        <x:v>English</x:v>
      </x:c>
      <x:c r="S1087" t="n">
        <x:v>15</x:v>
      </x:c>
      <x:c r="T1087"/>
      <x:c r="U1087" t="n">
        <x:v>6735000</x:v>
      </x:c>
      <x:c r="V1087" t="n">
        <x:v>0</x:v>
      </x:c>
      <x:c r="W1087" t="n">
        <x:v>0</x:v>
      </x:c>
    </x:row>
    <x:row r="1088">
      <x:c r="J1088" t="n">
        <x:v>1560</x:v>
      </x:c>
      <x:c r="K1088" t="str">
        <x:v>RocknRolla</x:v>
      </x:c>
      <x:c r="L1088" t="n">
        <x:v>39695</x:v>
      </x:c>
      <x:c r="M1088" t="n">
        <x:v>114</x:v>
      </x:c>
      <x:c r="N1088" t="str">
        <x:v>Crime</x:v>
      </x:c>
      <x:c r="O1088" t="str">
        <x:v>Guy Ritchie</x:v>
      </x:c>
      <x:c r="P1088" t="str">
        <x:v>Warner Bros. Pictures</x:v>
      </x:c>
      <x:c r="Q1088" t="str">
        <x:v>United Kingdom</x:v>
      </x:c>
      <x:c r="R1088" t="str">
        <x:v>English</x:v>
      </x:c>
      <x:c r="S1088" t="n">
        <x:v>15</x:v>
      </x:c>
      <x:c r="T1088" t="n">
        <x:v>13000000</x:v>
      </x:c>
      <x:c r="U1088" t="n">
        <x:v>25739000</x:v>
      </x:c>
      <x:c r="V1088" t="n">
        <x:v>0</x:v>
      </x:c>
      <x:c r="W1088" t="n">
        <x:v>0</x:v>
      </x:c>
    </x:row>
    <x:row r="1089">
      <x:c r="J1089" t="n">
        <x:v>1561</x:v>
      </x:c>
      <x:c r="K1089" t="str">
        <x:v>Sherlock Holmes: A Game of Shadows</x:v>
      </x:c>
      <x:c r="L1089" t="n">
        <x:v>40893</x:v>
      </x:c>
      <x:c r="M1089" t="n">
        <x:v>129</x:v>
      </x:c>
      <x:c r="N1089" t="str">
        <x:v>Action</x:v>
      </x:c>
      <x:c r="O1089" t="str">
        <x:v>Guy Ritchie</x:v>
      </x:c>
      <x:c r="P1089" t="str">
        <x:v>Village Roadshow Pictures</x:v>
      </x:c>
      <x:c r="Q1089" t="str">
        <x:v>United Kingdom</x:v>
      </x:c>
      <x:c r="R1089" t="str">
        <x:v>English</x:v>
      </x:c>
      <x:c r="S1089" t="str">
        <x:v>12A</x:v>
      </x:c>
      <x:c r="T1089" t="n">
        <x:v>125000000</x:v>
      </x:c>
      <x:c r="U1089" t="n">
        <x:v>545400000</x:v>
      </x:c>
      <x:c r="V1089" t="n">
        <x:v>0</x:v>
      </x:c>
      <x:c r="W1089" t="n">
        <x:v>0</x:v>
      </x:c>
    </x:row>
    <x:row r="1090">
      <x:c r="J1090" t="n">
        <x:v>1562</x:v>
      </x:c>
      <x:c r="K1090" t="str">
        <x:v>The Man from U.N.C.L.E.</x:v>
      </x:c>
      <x:c r="L1090" t="n">
        <x:v>42218</x:v>
      </x:c>
      <x:c r="M1090" t="n">
        <x:v>116</x:v>
      </x:c>
      <x:c r="N1090" t="str">
        <x:v>Action</x:v>
      </x:c>
      <x:c r="O1090" t="str">
        <x:v>Guy Ritchie</x:v>
      </x:c>
      <x:c r="P1090" t="str">
        <x:v>Davis Entertainment</x:v>
      </x:c>
      <x:c r="Q1090" t="str">
        <x:v>United States</x:v>
      </x:c>
      <x:c r="R1090" t="str">
        <x:v>English</x:v>
      </x:c>
      <x:c r="S1090" t="str">
        <x:v>12A</x:v>
      </x:c>
      <x:c r="T1090" t="n">
        <x:v>75000000</x:v>
      </x:c>
      <x:c r="U1090" t="n">
        <x:v>109800000</x:v>
      </x:c>
      <x:c r="V1090" t="n">
        <x:v>0</x:v>
      </x:c>
      <x:c r="W1090" t="n">
        <x:v>0</x:v>
      </x:c>
    </x:row>
    <x:row r="1091">
      <x:c r="J1091" t="n">
        <x:v>1563</x:v>
      </x:c>
      <x:c r="K1091" t="str">
        <x:v>Prometheus</x:v>
      </x:c>
      <x:c r="L1091" t="n">
        <x:v>41059</x:v>
      </x:c>
      <x:c r="M1091" t="n">
        <x:v>124</x:v>
      </x:c>
      <x:c r="N1091" t="str">
        <x:v>Science Fiction</x:v>
      </x:c>
      <x:c r="O1091" t="str">
        <x:v>Ridley Scott</x:v>
      </x:c>
      <x:c r="P1091" t="str">
        <x:v>Scott Free Productions</x:v>
      </x:c>
      <x:c r="Q1091" t="str">
        <x:v>United States</x:v>
      </x:c>
      <x:c r="R1091" t="str">
        <x:v>English</x:v>
      </x:c>
      <x:c r="S1091" t="n">
        <x:v>15</x:v>
      </x:c>
      <x:c r="T1091" t="n">
        <x:v>130000000</x:v>
      </x:c>
      <x:c r="U1091" t="n">
        <x:v>403400000</x:v>
      </x:c>
      <x:c r="V1091" t="n">
        <x:v>1</x:v>
      </x:c>
      <x:c r="W1091" t="n">
        <x:v>0</x:v>
      </x:c>
    </x:row>
    <x:row r="1092">
      <x:c r="J1092" t="n">
        <x:v>1564</x:v>
      </x:c>
      <x:c r="K1092" t="str">
        <x:v>Legend</x:v>
      </x:c>
      <x:c r="L1092" t="n">
        <x:v>31394</x:v>
      </x:c>
      <x:c r="M1092" t="n">
        <x:v>125</x:v>
      </x:c>
      <x:c r="N1092" t="str">
        <x:v>Fantasy</x:v>
      </x:c>
      <x:c r="O1092" t="str">
        <x:v>Ridley Scott</x:v>
      </x:c>
      <x:c r="P1092" t="str">
        <x:v>Embassy International</x:v>
      </x:c>
      <x:c r="Q1092" t="str">
        <x:v>United States</x:v>
      </x:c>
      <x:c r="R1092" t="str">
        <x:v>English</x:v>
      </x:c>
      <x:c r="S1092" t="str">
        <x:v>PG</x:v>
      </x:c>
      <x:c r="T1092" t="n">
        <x:v>24500000</x:v>
      </x:c>
      <x:c r="U1092" t="n">
        <x:v>15500000</x:v>
      </x:c>
      <x:c r="V1092" t="n">
        <x:v>1</x:v>
      </x:c>
      <x:c r="W1092" t="n">
        <x:v>0</x:v>
      </x:c>
    </x:row>
    <x:row r="1093">
      <x:c r="J1093" t="n">
        <x:v>1565</x:v>
      </x:c>
      <x:c r="K1093" t="str">
        <x:v>Black Rain</x:v>
      </x:c>
      <x:c r="L1093" t="n">
        <x:v>32773</x:v>
      </x:c>
      <x:c r="M1093" t="n">
        <x:v>125</x:v>
      </x:c>
      <x:c r="N1093" t="str">
        <x:v>Thriller</x:v>
      </x:c>
      <x:c r="O1093" t="str">
        <x:v>Ridley Scott</x:v>
      </x:c>
      <x:c r="P1093" t="str">
        <x:v>Paramount Pictures</x:v>
      </x:c>
      <x:c r="Q1093" t="str">
        <x:v>United States</x:v>
      </x:c>
      <x:c r="R1093" t="str">
        <x:v>English</x:v>
      </x:c>
      <x:c r="S1093" t="n">
        <x:v>18</x:v>
      </x:c>
      <x:c r="T1093" t="n">
        <x:v>30000000</x:v>
      </x:c>
      <x:c r="U1093" t="n">
        <x:v>134200000</x:v>
      </x:c>
      <x:c r="V1093" t="n">
        <x:v>2</x:v>
      </x:c>
      <x:c r="W1093" t="n">
        <x:v>0</x:v>
      </x:c>
    </x:row>
    <x:row r="1094">
      <x:c r="J1094" t="n">
        <x:v>1566</x:v>
      </x:c>
      <x:c r="K1094" t="str">
        <x:v>Thelma &amp; Louise</x:v>
      </x:c>
      <x:c r="L1094" t="n">
        <x:v>33382</x:v>
      </x:c>
      <x:c r="M1094" t="n">
        <x:v>129</x:v>
      </x:c>
      <x:c r="N1094" t="str">
        <x:v>Adventure</x:v>
      </x:c>
      <x:c r="O1094" t="str">
        <x:v>Ridley Scott</x:v>
      </x:c>
      <x:c r="P1094" t="str">
        <x:v>Pathe</x:v>
      </x:c>
      <x:c r="Q1094" t="str">
        <x:v>United States</x:v>
      </x:c>
      <x:c r="R1094" t="str">
        <x:v>English</x:v>
      </x:c>
      <x:c r="S1094" t="n">
        <x:v>15</x:v>
      </x:c>
      <x:c r="T1094" t="n">
        <x:v>16500000</x:v>
      </x:c>
      <x:c r="U1094" t="n">
        <x:v>45400000</x:v>
      </x:c>
      <x:c r="V1094" t="n">
        <x:v>6</x:v>
      </x:c>
      <x:c r="W1094" t="n">
        <x:v>1</x:v>
      </x:c>
    </x:row>
    <x:row r="1095">
      <x:c r="J1095" t="n">
        <x:v>1567</x:v>
      </x:c>
      <x:c r="K1095" t="str">
        <x:v>1492: Conquest of Paradise</x:v>
      </x:c>
      <x:c r="L1095" t="n">
        <x:v>33886</x:v>
      </x:c>
      <x:c r="M1095" t="n">
        <x:v>142</x:v>
      </x:c>
      <x:c r="N1095" t="str">
        <x:v>Adventure</x:v>
      </x:c>
      <x:c r="O1095" t="str">
        <x:v>Ridley Scott</x:v>
      </x:c>
      <x:c r="P1095" t="str">
        <x:v>Paramount Pictures</x:v>
      </x:c>
      <x:c r="Q1095" t="str">
        <x:v>United States</x:v>
      </x:c>
      <x:c r="R1095" t="str">
        <x:v>English</x:v>
      </x:c>
      <x:c r="S1095" t="n">
        <x:v>15</x:v>
      </x:c>
      <x:c r="T1095" t="n">
        <x:v>47000000</x:v>
      </x:c>
      <x:c r="U1095" t="n">
        <x:v>7200000</x:v>
      </x:c>
      <x:c r="V1095" t="n">
        <x:v>0</x:v>
      </x:c>
      <x:c r="W1095" t="n">
        <x:v>0</x:v>
      </x:c>
    </x:row>
    <x:row r="1096">
      <x:c r="J1096" t="n">
        <x:v>1568</x:v>
      </x:c>
      <x:c r="K1096" t="str">
        <x:v>G.I. Jane</x:v>
      </x:c>
      <x:c r="L1096" t="n">
        <x:v>35664</x:v>
      </x:c>
      <x:c r="M1096" t="n">
        <x:v>124</x:v>
      </x:c>
      <x:c r="N1096" t="str">
        <x:v>War</x:v>
      </x:c>
      <x:c r="O1096" t="str">
        <x:v>Ridley Scott</x:v>
      </x:c>
      <x:c r="P1096" t="str">
        <x:v>Scott Free Productions</x:v>
      </x:c>
      <x:c r="Q1096" t="str">
        <x:v>United States</x:v>
      </x:c>
      <x:c r="R1096" t="str">
        <x:v>English</x:v>
      </x:c>
      <x:c r="S1096" t="n">
        <x:v>15</x:v>
      </x:c>
      <x:c r="T1096" t="n">
        <x:v>50000000</x:v>
      </x:c>
      <x:c r="U1096" t="n">
        <x:v>97100000</x:v>
      </x:c>
      <x:c r="V1096" t="n">
        <x:v>0</x:v>
      </x:c>
      <x:c r="W1096" t="n">
        <x:v>0</x:v>
      </x:c>
    </x:row>
    <x:row r="1097">
      <x:c r="J1097" t="n">
        <x:v>1569</x:v>
      </x:c>
      <x:c r="K1097" t="str">
        <x:v>Matchstick Men</x:v>
      </x:c>
      <x:c r="L1097" t="n">
        <x:v>37876</x:v>
      </x:c>
      <x:c r="M1097" t="n">
        <x:v>116</x:v>
      </x:c>
      <x:c r="N1097" t="str">
        <x:v>Crime</x:v>
      </x:c>
      <x:c r="O1097" t="str">
        <x:v>Ridley Scott</x:v>
      </x:c>
      <x:c r="P1097" t="str">
        <x:v>Scott Free Productions</x:v>
      </x:c>
      <x:c r="Q1097" t="str">
        <x:v>United States</x:v>
      </x:c>
      <x:c r="R1097" t="str">
        <x:v>English</x:v>
      </x:c>
      <x:c r="S1097" t="str">
        <x:v>12A</x:v>
      </x:c>
      <x:c r="T1097" t="n">
        <x:v>62000000</x:v>
      </x:c>
      <x:c r="U1097" t="n">
        <x:v>65600000</x:v>
      </x:c>
      <x:c r="V1097" t="n">
        <x:v>0</x:v>
      </x:c>
      <x:c r="W1097" t="n">
        <x:v>0</x:v>
      </x:c>
    </x:row>
    <x:row r="1098">
      <x:c r="J1098" t="n">
        <x:v>1570</x:v>
      </x:c>
      <x:c r="K1098" t="str">
        <x:v>Body of Lies</x:v>
      </x:c>
      <x:c r="L1098" t="n">
        <x:v>39731</x:v>
      </x:c>
      <x:c r="M1098" t="n">
        <x:v>128</x:v>
      </x:c>
      <x:c r="N1098" t="str">
        <x:v>Action</x:v>
      </x:c>
      <x:c r="O1098" t="str">
        <x:v>Ridley Scott</x:v>
      </x:c>
      <x:c r="P1098" t="str">
        <x:v>Scott Free Productions</x:v>
      </x:c>
      <x:c r="Q1098" t="str">
        <x:v>United States</x:v>
      </x:c>
      <x:c r="R1098" t="str">
        <x:v>English</x:v>
      </x:c>
      <x:c r="S1098" t="n">
        <x:v>15</x:v>
      </x:c>
      <x:c r="T1098" t="n">
        <x:v>70000000</x:v>
      </x:c>
      <x:c r="U1098" t="n">
        <x:v>115100000</x:v>
      </x:c>
      <x:c r="V1098" t="n">
        <x:v>0</x:v>
      </x:c>
      <x:c r="W1098" t="n">
        <x:v>0</x:v>
      </x:c>
    </x:row>
    <x:row r="1099">
      <x:c r="J1099" t="n">
        <x:v>1571</x:v>
      </x:c>
      <x:c r="K1099" t="str">
        <x:v>Robin Hood</x:v>
      </x:c>
      <x:c r="L1099" t="n">
        <x:v>40310</x:v>
      </x:c>
      <x:c r="M1099" t="n">
        <x:v>140</x:v>
      </x:c>
      <x:c r="N1099" t="str">
        <x:v>Adventure</x:v>
      </x:c>
      <x:c r="O1099" t="str">
        <x:v>Ridley Scott</x:v>
      </x:c>
      <x:c r="P1099" t="str">
        <x:v>Scott Free Productions</x:v>
      </x:c>
      <x:c r="Q1099" t="str">
        <x:v>United States</x:v>
      </x:c>
      <x:c r="R1099" t="str">
        <x:v>English</x:v>
      </x:c>
      <x:c r="S1099" t="str">
        <x:v>12A</x:v>
      </x:c>
      <x:c r="T1099" t="n">
        <x:v>200000000</x:v>
      </x:c>
      <x:c r="U1099" t="n">
        <x:v>321700000</x:v>
      </x:c>
      <x:c r="V1099" t="n">
        <x:v>0</x:v>
      </x:c>
      <x:c r="W1099" t="n">
        <x:v>0</x:v>
      </x:c>
    </x:row>
    <x:row r="1100">
      <x:c r="J1100" t="n">
        <x:v>1572</x:v>
      </x:c>
      <x:c r="K1100" t="str">
        <x:v>The Counsellor</x:v>
      </x:c>
      <x:c r="L1100" t="n">
        <x:v>41550</x:v>
      </x:c>
      <x:c r="M1100" t="n">
        <x:v>118</x:v>
      </x:c>
      <x:c r="N1100" t="str">
        <x:v>Thriller</x:v>
      </x:c>
      <x:c r="O1100" t="str">
        <x:v>Ridley Scott</x:v>
      </x:c>
      <x:c r="P1100" t="str">
        <x:v>Scott Free Productions</x:v>
      </x:c>
      <x:c r="Q1100" t="str">
        <x:v>United Kingdom</x:v>
      </x:c>
      <x:c r="R1100" t="str">
        <x:v>English</x:v>
      </x:c>
      <x:c r="S1100" t="n">
        <x:v>18</x:v>
      </x:c>
      <x:c r="T1100" t="n">
        <x:v>25000000</x:v>
      </x:c>
      <x:c r="U1100" t="n">
        <x:v>71000000</x:v>
      </x:c>
      <x:c r="V1100" t="n">
        <x:v>0</x:v>
      </x:c>
      <x:c r="W1100" t="n">
        <x:v>0</x:v>
      </x:c>
    </x:row>
    <x:row r="1101">
      <x:c r="J1101" t="n">
        <x:v>1573</x:v>
      </x:c>
      <x:c r="K1101" t="str">
        <x:v>Exodus: Gods and Kings</x:v>
      </x:c>
      <x:c r="L1101" t="n">
        <x:v>41985</x:v>
      </x:c>
      <x:c r="M1101" t="n">
        <x:v>150</x:v>
      </x:c>
      <x:c r="N1101" t="str">
        <x:v>Adventure</x:v>
      </x:c>
      <x:c r="O1101" t="str">
        <x:v>Ridley Scott</x:v>
      </x:c>
      <x:c r="P1101" t="str">
        <x:v>Scott Free Productions</x:v>
      </x:c>
      <x:c r="Q1101" t="str">
        <x:v>United States</x:v>
      </x:c>
      <x:c r="R1101" t="str">
        <x:v>English</x:v>
      </x:c>
      <x:c r="S1101" t="str">
        <x:v>12A</x:v>
      </x:c>
      <x:c r="T1101" t="n">
        <x:v>145000000</x:v>
      </x:c>
      <x:c r="U1101" t="n">
        <x:v>268200000</x:v>
      </x:c>
      <x:c r="V1101" t="n">
        <x:v>0</x:v>
      </x:c>
      <x:c r="W1101" t="n">
        <x:v>0</x:v>
      </x:c>
    </x:row>
    <x:row r="1102">
      <x:c r="J1102" t="n">
        <x:v>1574</x:v>
      </x:c>
      <x:c r="K1102" t="str">
        <x:v>Twilight</x:v>
      </x:c>
      <x:c r="L1102" t="n">
        <x:v>39769</x:v>
      </x:c>
      <x:c r="M1102" t="n">
        <x:v>121</x:v>
      </x:c>
      <x:c r="N1102" t="str">
        <x:v>Awful</x:v>
      </x:c>
      <x:c r="O1102" t="str">
        <x:v>Catherine Hardwicke</x:v>
      </x:c>
      <x:c r="P1102" t="str">
        <x:v>Temple Hill Entertainment</x:v>
      </x:c>
      <x:c r="Q1102" t="str">
        <x:v>United States</x:v>
      </x:c>
      <x:c r="R1102" t="str">
        <x:v>English</x:v>
      </x:c>
      <x:c r="S1102" t="str">
        <x:v>12A</x:v>
      </x:c>
      <x:c r="T1102" t="n">
        <x:v>37000000</x:v>
      </x:c>
      <x:c r="U1102" t="n">
        <x:v>393616000</x:v>
      </x:c>
      <x:c r="V1102" t="n">
        <x:v>0</x:v>
      </x:c>
      <x:c r="W1102" t="n">
        <x:v>0</x:v>
      </x:c>
    </x:row>
    <x:row r="1103">
      <x:c r="J1103" t="n">
        <x:v>1575</x:v>
      </x:c>
      <x:c r="K1103" t="str">
        <x:v>The Girl with the Dragon Tattoo</x:v>
      </x:c>
      <x:c r="L1103" t="n">
        <x:v>39871</x:v>
      </x:c>
      <x:c r="M1103" t="n">
        <x:v>153</x:v>
      </x:c>
      <x:c r="N1103" t="str">
        <x:v>Thriller</x:v>
      </x:c>
      <x:c r="O1103" t="str">
        <x:v>Niels Arden Oplev</x:v>
      </x:c>
      <x:c r="P1103" t="str">
        <x:v>Yellow Bird</x:v>
      </x:c>
      <x:c r="Q1103" t="str">
        <x:v>Sweden</x:v>
      </x:c>
      <x:c r="R1103" t="str">
        <x:v>Swedish</x:v>
      </x:c>
      <x:c r="S1103" t="n">
        <x:v>18</x:v>
      </x:c>
      <x:c r="T1103" t="n">
        <x:v>13000000</x:v>
      </x:c>
      <x:c r="U1103" t="n">
        <x:v>104395000</x:v>
      </x:c>
      <x:c r="V1103" t="n">
        <x:v>0</x:v>
      </x:c>
      <x:c r="W1103" t="n">
        <x:v>0</x:v>
      </x:c>
    </x:row>
    <x:row r="1104">
      <x:c r="J1104" t="n">
        <x:v>1577</x:v>
      </x:c>
      <x:c r="K1104" t="str">
        <x:v>Dead Man Down</x:v>
      </x:c>
      <x:c r="L1104" t="n">
        <x:v>41341</x:v>
      </x:c>
      <x:c r="M1104" t="n">
        <x:v>117</x:v>
      </x:c>
      <x:c r="N1104" t="str">
        <x:v>Crime</x:v>
      </x:c>
      <x:c r="O1104" t="str">
        <x:v>Niels Arden Oplev</x:v>
      </x:c>
      <x:c r="P1104" t="str">
        <x:v>Original Film</x:v>
      </x:c>
      <x:c r="Q1104" t="str">
        <x:v>United States</x:v>
      </x:c>
      <x:c r="R1104" t="str">
        <x:v>English</x:v>
      </x:c>
      <x:c r="S1104" t="n">
        <x:v>15</x:v>
      </x:c>
      <x:c r="T1104" t="n">
        <x:v>30000000</x:v>
      </x:c>
      <x:c r="U1104" t="n">
        <x:v>18100000</x:v>
      </x:c>
      <x:c r="V1104" t="n">
        <x:v>0</x:v>
      </x:c>
      <x:c r="W1104" t="n">
        <x:v>0</x:v>
      </x:c>
    </x:row>
    <x:row r="1105">
      <x:c r="J1105" t="n">
        <x:v>1578</x:v>
      </x:c>
      <x:c r="K1105" t="str">
        <x:v>The Girl Who Played with Fire</x:v>
      </x:c>
      <x:c r="L1105" t="n">
        <x:v>40074</x:v>
      </x:c>
      <x:c r="M1105" t="n">
        <x:v>129</x:v>
      </x:c>
      <x:c r="N1105" t="str">
        <x:v>Thriller</x:v>
      </x:c>
      <x:c r="O1105" t="str">
        <x:v>Daniel Alfredson</x:v>
      </x:c>
      <x:c r="P1105" t="str">
        <x:v>Yellow Bird</x:v>
      </x:c>
      <x:c r="Q1105" t="str">
        <x:v>Sweden</x:v>
      </x:c>
      <x:c r="R1105" t="str">
        <x:v>Swedish</x:v>
      </x:c>
      <x:c r="S1105" t="n">
        <x:v>15</x:v>
      </x:c>
      <x:c r="T1105"/>
      <x:c r="U1105" t="n">
        <x:v>67126000</x:v>
      </x:c>
      <x:c r="V1105" t="n">
        <x:v>0</x:v>
      </x:c>
      <x:c r="W1105" t="n">
        <x:v>0</x:v>
      </x:c>
    </x:row>
    <x:row r="1106">
      <x:c r="J1106" t="n">
        <x:v>1579</x:v>
      </x:c>
      <x:c r="K1106" t="str">
        <x:v>The Girl Who Kicked the Hornets' Nest</x:v>
      </x:c>
      <x:c r="L1106" t="n">
        <x:v>40144</x:v>
      </x:c>
      <x:c r="M1106" t="n">
        <x:v>147</x:v>
      </x:c>
      <x:c r="N1106" t="str">
        <x:v>Thriller</x:v>
      </x:c>
      <x:c r="O1106" t="str">
        <x:v>Daniel Alfredson</x:v>
      </x:c>
      <x:c r="P1106" t="str">
        <x:v>Yellow Bird</x:v>
      </x:c>
      <x:c r="Q1106" t="str">
        <x:v>Sweden</x:v>
      </x:c>
      <x:c r="R1106" t="str">
        <x:v>Swedish</x:v>
      </x:c>
      <x:c r="S1106" t="n">
        <x:v>15</x:v>
      </x:c>
      <x:c r="T1106" t="n">
        <x:v>5300000</x:v>
      </x:c>
      <x:c r="U1106" t="n">
        <x:v>43500000</x:v>
      </x:c>
      <x:c r="V1106" t="n">
        <x:v>0</x:v>
      </x:c>
      <x:c r="W1106" t="n">
        <x:v>0</x:v>
      </x:c>
    </x:row>
    <x:row r="1107">
      <x:c r="J1107" t="n">
        <x:v>1580</x:v>
      </x:c>
      <x:c r="K1107" t="str">
        <x:v>The Girl with the Dragon Tattoo</x:v>
      </x:c>
      <x:c r="L1107" t="n">
        <x:v>40889</x:v>
      </x:c>
      <x:c r="M1107" t="n">
        <x:v>158</x:v>
      </x:c>
      <x:c r="N1107" t="str">
        <x:v>Thriller</x:v>
      </x:c>
      <x:c r="O1107" t="str">
        <x:v>David Fincher</x:v>
      </x:c>
      <x:c r="P1107" t="str">
        <x:v>Scott Rudin Productions</x:v>
      </x:c>
      <x:c r="Q1107" t="str">
        <x:v>United States</x:v>
      </x:c>
      <x:c r="R1107" t="str">
        <x:v>English</x:v>
      </x:c>
      <x:c r="S1107" t="n">
        <x:v>18</x:v>
      </x:c>
      <x:c r="T1107" t="n">
        <x:v>90000000</x:v>
      </x:c>
      <x:c r="U1107" t="n">
        <x:v>232600000</x:v>
      </x:c>
      <x:c r="V1107" t="n">
        <x:v>5</x:v>
      </x:c>
      <x:c r="W1107" t="n">
        <x:v>1</x:v>
      </x:c>
    </x:row>
    <x:row r="1108">
      <x:c r="J1108" t="n">
        <x:v>1581</x:v>
      </x:c>
      <x:c r="K1108" t="str">
        <x:v>John Wick</x:v>
      </x:c>
      <x:c r="L1108" t="n">
        <x:v>41925</x:v>
      </x:c>
      <x:c r="M1108" t="n">
        <x:v>101</x:v>
      </x:c>
      <x:c r="N1108" t="str">
        <x:v>Action</x:v>
      </x:c>
      <x:c r="O1108" t="str">
        <x:v>Chad Stahelski</x:v>
      </x:c>
      <x:c r="P1108" t="str">
        <x:v>Summit Entertainment</x:v>
      </x:c>
      <x:c r="Q1108" t="str">
        <x:v>United States</x:v>
      </x:c>
      <x:c r="R1108" t="str">
        <x:v>English</x:v>
      </x:c>
      <x:c r="S1108" t="n">
        <x:v>15</x:v>
      </x:c>
      <x:c r="T1108" t="n">
        <x:v>20000000</x:v>
      </x:c>
      <x:c r="U1108" t="n">
        <x:v>86000000</x:v>
      </x:c>
      <x:c r="V1108" t="n">
        <x:v>0</x:v>
      </x:c>
      <x:c r="W1108" t="n">
        <x:v>0</x:v>
      </x:c>
    </x:row>
    <x:row r="1109">
      <x:c r="J1109" t="n">
        <x:v>1582</x:v>
      </x:c>
      <x:c r="K1109" t="str">
        <x:v>The Seventh Seal</x:v>
      </x:c>
      <x:c r="L1109" t="n">
        <x:v>20867</x:v>
      </x:c>
      <x:c r="M1109" t="n">
        <x:v>96</x:v>
      </x:c>
      <x:c r="N1109" t="str">
        <x:v>Drama</x:v>
      </x:c>
      <x:c r="O1109" t="str">
        <x:v>Ingmar Bergman</x:v>
      </x:c>
      <x:c r="P1109" t="str">
        <x:v>Svensk Filmindustri</x:v>
      </x:c>
      <x:c r="Q1109" t="str">
        <x:v>Sweden</x:v>
      </x:c>
      <x:c r="R1109" t="str">
        <x:v>Swedish</x:v>
      </x:c>
      <x:c r="S1109" t="str">
        <x:v>PG</x:v>
      </x:c>
      <x:c r="T1109" t="n">
        <x:v>150000</x:v>
      </x:c>
      <x:c r="U1109"/>
      <x:c r="V1109" t="n">
        <x:v>0</x:v>
      </x:c>
      <x:c r="W1109" t="n">
        <x:v>0</x:v>
      </x:c>
    </x:row>
    <x:row r="1110">
      <x:c r="J1110" t="n">
        <x:v>1583</x:v>
      </x:c>
      <x:c r="K1110" t="str">
        <x:v>The Revenant</x:v>
      </x:c>
      <x:c r="L1110" t="n">
        <x:v>42354</x:v>
      </x:c>
      <x:c r="M1110" t="n">
        <x:v>156</x:v>
      </x:c>
      <x:c r="N1110" t="str">
        <x:v>Adventure</x:v>
      </x:c>
      <x:c r="O1110" t="str">
        <x:v>Alejandro G. Inarritu</x:v>
      </x:c>
      <x:c r="P1110" t="str">
        <x:v>Regency Enterprises</x:v>
      </x:c>
      <x:c r="Q1110" t="str">
        <x:v>United States</x:v>
      </x:c>
      <x:c r="R1110" t="str">
        <x:v>English</x:v>
      </x:c>
      <x:c r="S1110" t="n">
        <x:v>15</x:v>
      </x:c>
      <x:c r="T1110" t="n">
        <x:v>135000000</x:v>
      </x:c>
      <x:c r="U1110" t="n">
        <x:v>533000000</x:v>
      </x:c>
      <x:c r="V1110" t="n">
        <x:v>12</x:v>
      </x:c>
      <x:c r="W1110" t="n">
        <x:v>3</x:v>
      </x:c>
    </x:row>
    <x:row r="1111">
      <x:c r="J1111" t="n">
        <x:v>1584</x:v>
      </x:c>
      <x:c r="K1111" t="str">
        <x:v>Birdman</x:v>
      </x:c>
      <x:c r="L1111" t="n">
        <x:v>41878</x:v>
      </x:c>
      <x:c r="M1111" t="n">
        <x:v>119</x:v>
      </x:c>
      <x:c r="N1111" t="str">
        <x:v>Comedy</x:v>
      </x:c>
      <x:c r="O1111" t="str">
        <x:v>Alejandro G. Inarritu</x:v>
      </x:c>
      <x:c r="P1111" t="str">
        <x:v>Regency Enterprises</x:v>
      </x:c>
      <x:c r="Q1111" t="str">
        <x:v>United States</x:v>
      </x:c>
      <x:c r="R1111" t="str">
        <x:v>English</x:v>
      </x:c>
      <x:c r="S1111" t="n">
        <x:v>15</x:v>
      </x:c>
      <x:c r="T1111" t="n">
        <x:v>18000000</x:v>
      </x:c>
      <x:c r="U1111" t="n">
        <x:v>103200000</x:v>
      </x:c>
      <x:c r="V1111" t="n">
        <x:v>9</x:v>
      </x:c>
      <x:c r="W1111" t="n">
        <x:v>4</x:v>
      </x:c>
    </x:row>
    <x:row r="1112">
      <x:c r="J1112" t="n">
        <x:v>1585</x:v>
      </x:c>
      <x:c r="K1112" t="str">
        <x:v>21 Grams</x:v>
      </x:c>
      <x:c r="L1112" t="n">
        <x:v>37981</x:v>
      </x:c>
      <x:c r="M1112" t="n">
        <x:v>124</x:v>
      </x:c>
      <x:c r="N1112" t="str">
        <x:v>Drama</x:v>
      </x:c>
      <x:c r="O1112" t="str">
        <x:v>Alejandro G. Inarritu</x:v>
      </x:c>
      <x:c r="P1112" t="str">
        <x:v>This Is That</x:v>
      </x:c>
      <x:c r="Q1112" t="str">
        <x:v>United States</x:v>
      </x:c>
      <x:c r="R1112" t="str">
        <x:v>English</x:v>
      </x:c>
      <x:c r="S1112" t="n">
        <x:v>15</x:v>
      </x:c>
      <x:c r="T1112" t="n">
        <x:v>20000000</x:v>
      </x:c>
      <x:c r="U1112" t="n">
        <x:v>60400000</x:v>
      </x:c>
      <x:c r="V1112" t="n">
        <x:v>2</x:v>
      </x:c>
      <x:c r="W1112" t="n">
        <x:v>0</x:v>
      </x:c>
    </x:row>
    <x:row r="1113">
      <x:c r="J1113" t="n">
        <x:v>1586</x:v>
      </x:c>
      <x:c r="K1113" t="str">
        <x:v>Ted</x:v>
      </x:c>
      <x:c r="L1113" t="n">
        <x:v>41089</x:v>
      </x:c>
      <x:c r="M1113" t="n">
        <x:v>106</x:v>
      </x:c>
      <x:c r="N1113" t="str">
        <x:v>Comedy</x:v>
      </x:c>
      <x:c r="O1113" t="str">
        <x:v>Seth MacFarlane</x:v>
      </x:c>
      <x:c r="P1113" t="str">
        <x:v>Universal Pictures</x:v>
      </x:c>
      <x:c r="Q1113" t="str">
        <x:v>United States</x:v>
      </x:c>
      <x:c r="R1113" t="str">
        <x:v>English</x:v>
      </x:c>
      <x:c r="S1113" t="n">
        <x:v>15</x:v>
      </x:c>
      <x:c r="T1113" t="n">
        <x:v>51000000</x:v>
      </x:c>
      <x:c r="U1113" t="n">
        <x:v>549400000</x:v>
      </x:c>
      <x:c r="V1113" t="n">
        <x:v>1</x:v>
      </x:c>
      <x:c r="W1113" t="n">
        <x:v>0</x:v>
      </x:c>
    </x:row>
    <x:row r="1114">
      <x:c r="J1114" t="n">
        <x:v>1587</x:v>
      </x:c>
      <x:c r="K1114" t="str">
        <x:v>Ted 2</x:v>
      </x:c>
      <x:c r="L1114" t="n">
        <x:v>42179</x:v>
      </x:c>
      <x:c r="M1114" t="n">
        <x:v>115</x:v>
      </x:c>
      <x:c r="N1114" t="str">
        <x:v>Comedy</x:v>
      </x:c>
      <x:c r="O1114" t="str">
        <x:v>Seth MacFarlane</x:v>
      </x:c>
      <x:c r="P1114" t="str">
        <x:v>Universal Pictures</x:v>
      </x:c>
      <x:c r="Q1114" t="str">
        <x:v>United States</x:v>
      </x:c>
      <x:c r="R1114" t="str">
        <x:v>English</x:v>
      </x:c>
      <x:c r="S1114" t="n">
        <x:v>15</x:v>
      </x:c>
      <x:c r="T1114" t="n">
        <x:v>68000000</x:v>
      </x:c>
      <x:c r="U1114" t="n">
        <x:v>216700000</x:v>
      </x:c>
      <x:c r="V1114" t="n">
        <x:v>0</x:v>
      </x:c>
      <x:c r="W1114" t="n">
        <x:v>0</x:v>
      </x:c>
    </x:row>
    <x:row r="1115">
      <x:c r="J1115" t="n">
        <x:v>1588</x:v>
      </x:c>
      <x:c r="K1115" t="str">
        <x:v>A Million Ways to Die in the West</x:v>
      </x:c>
      <x:c r="L1115" t="n">
        <x:v>41789</x:v>
      </x:c>
      <x:c r="M1115" t="n">
        <x:v>116</x:v>
      </x:c>
      <x:c r="N1115" t="str">
        <x:v>Comedy</x:v>
      </x:c>
      <x:c r="O1115" t="str">
        <x:v>Seth MacFarlane</x:v>
      </x:c>
      <x:c r="P1115" t="str">
        <x:v>Universal Pictures</x:v>
      </x:c>
      <x:c r="Q1115" t="str">
        <x:v>United States</x:v>
      </x:c>
      <x:c r="R1115" t="str">
        <x:v>English</x:v>
      </x:c>
      <x:c r="S1115" t="n">
        <x:v>15</x:v>
      </x:c>
      <x:c r="T1115" t="n">
        <x:v>40000000</x:v>
      </x:c>
      <x:c r="U1115" t="n">
        <x:v>87200000</x:v>
      </x:c>
      <x:c r="V1115" t="n">
        <x:v>0</x:v>
      </x:c>
      <x:c r="W1115" t="n">
        <x:v>0</x:v>
      </x:c>
    </x:row>
    <x:row r="1116">
      <x:c r="J1116" t="n">
        <x:v>1589</x:v>
      </x:c>
      <x:c r="K1116" t="str">
        <x:v>Hansel &amp; Gretel: Witch Hunters</x:v>
      </x:c>
      <x:c r="L1116" t="n">
        <x:v>41291</x:v>
      </x:c>
      <x:c r="M1116" t="n">
        <x:v>88</x:v>
      </x:c>
      <x:c r="N1116" t="str">
        <x:v>Action</x:v>
      </x:c>
      <x:c r="O1116" t="str">
        <x:v>Tommy Wirkola</x:v>
      </x:c>
      <x:c r="P1116" t="str">
        <x:v>Paramount Pictures</x:v>
      </x:c>
      <x:c r="Q1116" t="str">
        <x:v>United States</x:v>
      </x:c>
      <x:c r="R1116" t="str">
        <x:v>English</x:v>
      </x:c>
      <x:c r="S1116" t="n">
        <x:v>15</x:v>
      </x:c>
      <x:c r="T1116" t="n">
        <x:v>50000000</x:v>
      </x:c>
      <x:c r="U1116" t="n">
        <x:v>226300000</x:v>
      </x:c>
      <x:c r="V1116" t="n">
        <x:v>0</x:v>
      </x:c>
      <x:c r="W1116" t="n">
        <x:v>0</x:v>
      </x:c>
    </x:row>
    <x:row r="1117">
      <x:c r="J1117" t="n">
        <x:v>1590</x:v>
      </x:c>
      <x:c r="K1117" t="str">
        <x:v>There Will Be Blood</x:v>
      </x:c>
      <x:c r="L1117" t="n">
        <x:v>39352</x:v>
      </x:c>
      <x:c r="M1117" t="n">
        <x:v>158</x:v>
      </x:c>
      <x:c r="N1117" t="str">
        <x:v>Drama</x:v>
      </x:c>
      <x:c r="O1117" t="str">
        <x:v>Paul Thomas Anderson</x:v>
      </x:c>
      <x:c r="P1117" t="str">
        <x:v>Miramax Films</x:v>
      </x:c>
      <x:c r="Q1117" t="str">
        <x:v>United States</x:v>
      </x:c>
      <x:c r="R1117" t="str">
        <x:v>English</x:v>
      </x:c>
      <x:c r="S1117" t="n">
        <x:v>15</x:v>
      </x:c>
      <x:c r="T1117" t="n">
        <x:v>25000000</x:v>
      </x:c>
      <x:c r="U1117" t="n">
        <x:v>76200000</x:v>
      </x:c>
      <x:c r="V1117" t="n">
        <x:v>8</x:v>
      </x:c>
      <x:c r="W1117" t="n">
        <x:v>2</x:v>
      </x:c>
    </x:row>
    <x:row r="1118">
      <x:c r="J1118" t="n">
        <x:v>1591</x:v>
      </x:c>
      <x:c r="K1118" t="str">
        <x:v>Punch-Drunk Love</x:v>
      </x:c>
      <x:c r="L1118" t="n">
        <x:v>37395</x:v>
      </x:c>
      <x:c r="M1118" t="n">
        <x:v>95</x:v>
      </x:c>
      <x:c r="N1118" t="str">
        <x:v>Romance</x:v>
      </x:c>
      <x:c r="O1118" t="str">
        <x:v>Paul Thomas Anderson</x:v>
      </x:c>
      <x:c r="P1118" t="str">
        <x:v>New Line Cinema</x:v>
      </x:c>
      <x:c r="Q1118" t="str">
        <x:v>United States</x:v>
      </x:c>
      <x:c r="R1118" t="str">
        <x:v>English</x:v>
      </x:c>
      <x:c r="S1118" t="n">
        <x:v>15</x:v>
      </x:c>
      <x:c r="T1118" t="n">
        <x:v>25000000</x:v>
      </x:c>
      <x:c r="U1118" t="n">
        <x:v>24700000</x:v>
      </x:c>
      <x:c r="V1118" t="n">
        <x:v>0</x:v>
      </x:c>
      <x:c r="W1118" t="n">
        <x:v>0</x:v>
      </x:c>
    </x:row>
    <x:row r="1119">
      <x:c r="J1119" t="n">
        <x:v>1592</x:v>
      </x:c>
      <x:c r="K1119" t="str">
        <x:v>The Master</x:v>
      </x:c>
      <x:c r="L1119" t="n">
        <x:v>41153</x:v>
      </x:c>
      <x:c r="M1119" t="n">
        <x:v>137</x:v>
      </x:c>
      <x:c r="N1119" t="str">
        <x:v>Drama</x:v>
      </x:c>
      <x:c r="O1119" t="str">
        <x:v>Paul Thomas Anderson</x:v>
      </x:c>
      <x:c r="P1119" t="str">
        <x:v>The Weinstein Company</x:v>
      </x:c>
      <x:c r="Q1119" t="str">
        <x:v>United States</x:v>
      </x:c>
      <x:c r="R1119" t="str">
        <x:v>English</x:v>
      </x:c>
      <x:c r="S1119" t="n">
        <x:v>15</x:v>
      </x:c>
      <x:c r="T1119" t="n">
        <x:v>32000000</x:v>
      </x:c>
      <x:c r="U1119" t="n">
        <x:v>28300000</x:v>
      </x:c>
      <x:c r="V1119" t="n">
        <x:v>3</x:v>
      </x:c>
      <x:c r="W1119" t="n">
        <x:v>0</x:v>
      </x:c>
    </x:row>
    <x:row r="1120">
      <x:c r="J1120" t="n">
        <x:v>1593</x:v>
      </x:c>
      <x:c r="K1120" t="str">
        <x:v>Inherent Vice</x:v>
      </x:c>
      <x:c r="L1120" t="n">
        <x:v>41916</x:v>
      </x:c>
      <x:c r="M1120" t="n">
        <x:v>149</x:v>
      </x:c>
      <x:c r="N1120" t="str">
        <x:v>Crime</x:v>
      </x:c>
      <x:c r="O1120" t="str">
        <x:v>Paul Thomas Anderson</x:v>
      </x:c>
      <x:c r="P1120" t="str">
        <x:v>Warner Bros. Pictures</x:v>
      </x:c>
      <x:c r="Q1120" t="str">
        <x:v>United States</x:v>
      </x:c>
      <x:c r="R1120" t="str">
        <x:v>English</x:v>
      </x:c>
      <x:c r="S1120" t="n">
        <x:v>15</x:v>
      </x:c>
      <x:c r="T1120" t="n">
        <x:v>20000000</x:v>
      </x:c>
      <x:c r="U1120" t="n">
        <x:v>14700000</x:v>
      </x:c>
      <x:c r="V1120" t="n">
        <x:v>2</x:v>
      </x:c>
      <x:c r="W1120" t="n">
        <x:v>0</x:v>
      </x:c>
    </x:row>
    <x:row r="1121">
      <x:c r="J1121" t="n">
        <x:v>1594</x:v>
      </x:c>
      <x:c r="K1121" t="str">
        <x:v>Boogie Nights</x:v>
      </x:c>
      <x:c r="L1121" t="n">
        <x:v>35713</x:v>
      </x:c>
      <x:c r="M1121" t="n">
        <x:v>155</x:v>
      </x:c>
      <x:c r="N1121" t="str">
        <x:v>Drama</x:v>
      </x:c>
      <x:c r="O1121" t="str">
        <x:v>Paul Thomas Anderson</x:v>
      </x:c>
      <x:c r="P1121" t="str">
        <x:v>New Line Cinema</x:v>
      </x:c>
      <x:c r="Q1121" t="str">
        <x:v>United States</x:v>
      </x:c>
      <x:c r="R1121" t="str">
        <x:v>English</x:v>
      </x:c>
      <x:c r="S1121" t="n">
        <x:v>18</x:v>
      </x:c>
      <x:c r="T1121" t="n">
        <x:v>15000000</x:v>
      </x:c>
      <x:c r="U1121" t="n">
        <x:v>43100000</x:v>
      </x:c>
      <x:c r="V1121" t="n">
        <x:v>3</x:v>
      </x:c>
      <x:c r="W1121" t="n">
        <x:v>0</x:v>
      </x:c>
    </x:row>
    <x:row r="1122">
      <x:c r="J1122" t="n">
        <x:v>1595</x:v>
      </x:c>
      <x:c r="K1122" t="str">
        <x:v>Innerspace</x:v>
      </x:c>
      <x:c r="L1122" t="n">
        <x:v>31959</x:v>
      </x:c>
      <x:c r="M1122" t="n">
        <x:v>120</x:v>
      </x:c>
      <x:c r="N1122" t="str">
        <x:v>Science Fiction</x:v>
      </x:c>
      <x:c r="O1122" t="str">
        <x:v>Joe Dante</x:v>
      </x:c>
      <x:c r="P1122" t="str">
        <x:v>Amblin Entertainment</x:v>
      </x:c>
      <x:c r="Q1122" t="str">
        <x:v>United States</x:v>
      </x:c>
      <x:c r="R1122" t="str">
        <x:v>English</x:v>
      </x:c>
      <x:c r="S1122" t="str">
        <x:v>PG</x:v>
      </x:c>
      <x:c r="T1122"/>
      <x:c r="U1122" t="n">
        <x:v>25900000</x:v>
      </x:c>
      <x:c r="V1122" t="n">
        <x:v>1</x:v>
      </x:c>
      <x:c r="W1122" t="n">
        <x:v>1</x:v>
      </x:c>
    </x:row>
    <x:row r="1123">
      <x:c r="J1123" t="n">
        <x:v>1596</x:v>
      </x:c>
      <x:c r="K1123" t="str">
        <x:v>Gremlins 2: The New Batch</x:v>
      </x:c>
      <x:c r="L1123" t="n">
        <x:v>33039</x:v>
      </x:c>
      <x:c r="M1123" t="n">
        <x:v>106</x:v>
      </x:c>
      <x:c r="N1123" t="str">
        <x:v>Comedy</x:v>
      </x:c>
      <x:c r="O1123" t="str">
        <x:v>Joe Dante</x:v>
      </x:c>
      <x:c r="P1123" t="str">
        <x:v>Amblin Entertainment</x:v>
      </x:c>
      <x:c r="Q1123" t="str">
        <x:v>United States</x:v>
      </x:c>
      <x:c r="R1123" t="str">
        <x:v>English</x:v>
      </x:c>
      <x:c r="S1123" t="n">
        <x:v>12</x:v>
      </x:c>
      <x:c r="T1123" t="n">
        <x:v>50000000</x:v>
      </x:c>
      <x:c r="U1123" t="n">
        <x:v>41500000</x:v>
      </x:c>
      <x:c r="V1123" t="n">
        <x:v>0</x:v>
      </x:c>
      <x:c r="W1123" t="n">
        <x:v>0</x:v>
      </x:c>
    </x:row>
    <x:row r="1124">
      <x:c r="J1124" t="n">
        <x:v>1597</x:v>
      </x:c>
      <x:c r="K1124" t="str">
        <x:v>The Punisher</x:v>
      </x:c>
      <x:c r="L1124" t="n">
        <x:v>38093</x:v>
      </x:c>
      <x:c r="M1124" t="n">
        <x:v>123</x:v>
      </x:c>
      <x:c r="N1124" t="str">
        <x:v>Action</x:v>
      </x:c>
      <x:c r="O1124" t="str">
        <x:v>Jonathan Hensleigh</x:v>
      </x:c>
      <x:c r="P1124" t="str">
        <x:v>Marvel Entertainment</x:v>
      </x:c>
      <x:c r="Q1124" t="str">
        <x:v>United States</x:v>
      </x:c>
      <x:c r="R1124" t="str">
        <x:v>English</x:v>
      </x:c>
      <x:c r="S1124" t="n">
        <x:v>18</x:v>
      </x:c>
      <x:c r="T1124" t="n">
        <x:v>33000000</x:v>
      </x:c>
      <x:c r="U1124" t="n">
        <x:v>54700000</x:v>
      </x:c>
      <x:c r="V1124" t="n">
        <x:v>0</x:v>
      </x:c>
      <x:c r="W1124" t="n">
        <x:v>0</x:v>
      </x:c>
    </x:row>
    <x:row r="1125">
      <x:c r="J1125" t="n">
        <x:v>1599</x:v>
      </x:c>
      <x:c r="K1125" t="str">
        <x:v>The Theory of Everything</x:v>
      </x:c>
      <x:c r="L1125" t="n">
        <x:v>41889</x:v>
      </x:c>
      <x:c r="M1125" t="n">
        <x:v>123</x:v>
      </x:c>
      <x:c r="N1125" t="str">
        <x:v>Biography</x:v>
      </x:c>
      <x:c r="O1125" t="str">
        <x:v>James Marsh</x:v>
      </x:c>
      <x:c r="P1125" t="str">
        <x:v>Universal Pictures</x:v>
      </x:c>
      <x:c r="Q1125" t="str">
        <x:v>United Kingdom</x:v>
      </x:c>
      <x:c r="R1125" t="str">
        <x:v>English</x:v>
      </x:c>
      <x:c r="S1125" t="str">
        <x:v>12A</x:v>
      </x:c>
      <x:c r="T1125" t="n">
        <x:v>15000000</x:v>
      </x:c>
      <x:c r="U1125" t="n">
        <x:v>123700000</x:v>
      </x:c>
      <x:c r="V1125" t="n">
        <x:v>5</x:v>
      </x:c>
      <x:c r="W1125" t="n">
        <x:v>1</x:v>
      </x:c>
    </x:row>
    <x:row r="1126">
      <x:c r="J1126" t="n">
        <x:v>1600</x:v>
      </x:c>
      <x:c r="K1126" t="str">
        <x:v>Looper</x:v>
      </x:c>
      <x:c r="L1126" t="n">
        <x:v>41158</x:v>
      </x:c>
      <x:c r="M1126" t="n">
        <x:v>118</x:v>
      </x:c>
      <x:c r="N1126" t="str">
        <x:v>Science Fiction</x:v>
      </x:c>
      <x:c r="O1126" t="str">
        <x:v>Rian Johnson</x:v>
      </x:c>
      <x:c r="P1126" t="str">
        <x:v>TriStar Pictures</x:v>
      </x:c>
      <x:c r="Q1126" t="str">
        <x:v>United States</x:v>
      </x:c>
      <x:c r="R1126" t="str">
        <x:v>English</x:v>
      </x:c>
      <x:c r="S1126" t="n">
        <x:v>15</x:v>
      </x:c>
      <x:c r="T1126" t="n">
        <x:v>30000000</x:v>
      </x:c>
      <x:c r="U1126" t="n">
        <x:v>176500000</x:v>
      </x:c>
      <x:c r="V1126" t="n">
        <x:v>0</x:v>
      </x:c>
      <x:c r="W1126" t="n">
        <x:v>0</x:v>
      </x:c>
    </x:row>
    <x:row r="1127">
      <x:c r="J1127" t="n">
        <x:v>1601</x:v>
      </x:c>
      <x:c r="K1127" t="str">
        <x:v>12 Years a Slave</x:v>
      </x:c>
      <x:c r="L1127" t="n">
        <x:v>41516</x:v>
      </x:c>
      <x:c r="M1127" t="n">
        <x:v>134</x:v>
      </x:c>
      <x:c r="N1127" t="str">
        <x:v>Biography</x:v>
      </x:c>
      <x:c r="O1127" t="str">
        <x:v>Steve McQueen</x:v>
      </x:c>
      <x:c r="P1127" t="str">
        <x:v>Summit Entertainment</x:v>
      </x:c>
      <x:c r="Q1127" t="str">
        <x:v>United States</x:v>
      </x:c>
      <x:c r="R1127" t="str">
        <x:v>English</x:v>
      </x:c>
      <x:c r="S1127" t="n">
        <x:v>15</x:v>
      </x:c>
      <x:c r="T1127" t="n">
        <x:v>22000000</x:v>
      </x:c>
      <x:c r="U1127" t="n">
        <x:v>187700000</x:v>
      </x:c>
      <x:c r="V1127" t="n">
        <x:v>9</x:v>
      </x:c>
      <x:c r="W1127" t="n">
        <x:v>3</x:v>
      </x:c>
    </x:row>
    <x:row r="1128">
      <x:c r="J1128" t="n">
        <x:v>1602</x:v>
      </x:c>
      <x:c r="K1128" t="str">
        <x:v>Prisoners</x:v>
      </x:c>
      <x:c r="L1128" t="n">
        <x:v>41516</x:v>
      </x:c>
      <x:c r="M1128" t="n">
        <x:v>153</x:v>
      </x:c>
      <x:c r="N1128" t="str">
        <x:v>Thriller</x:v>
      </x:c>
      <x:c r="O1128" t="str">
        <x:v>Denis Villeneuve</x:v>
      </x:c>
      <x:c r="P1128" t="str">
        <x:v>Warner Bros. Pictures</x:v>
      </x:c>
      <x:c r="Q1128" t="str">
        <x:v>United States</x:v>
      </x:c>
      <x:c r="R1128" t="str">
        <x:v>English</x:v>
      </x:c>
      <x:c r="S1128" t="n">
        <x:v>15</x:v>
      </x:c>
      <x:c r="T1128" t="n">
        <x:v>46000000</x:v>
      </x:c>
      <x:c r="U1128" t="n">
        <x:v>122100000</x:v>
      </x:c>
      <x:c r="V1128" t="n">
        <x:v>1</x:v>
      </x:c>
      <x:c r="W1128" t="n">
        <x:v>0</x:v>
      </x:c>
    </x:row>
    <x:row r="1129">
      <x:c r="J1129" t="n">
        <x:v>1603</x:v>
      </x:c>
      <x:c r="K1129" t="str">
        <x:v>Cowboys &amp; Aliens</x:v>
      </x:c>
      <x:c r="L1129" t="n">
        <x:v>40753</x:v>
      </x:c>
      <x:c r="M1129" t="n">
        <x:v>118</x:v>
      </x:c>
      <x:c r="N1129" t="str">
        <x:v>Science Fiction</x:v>
      </x:c>
      <x:c r="O1129" t="str">
        <x:v>Jon Favreau</x:v>
      </x:c>
      <x:c r="P1129" t="str">
        <x:v>Dreamworks</x:v>
      </x:c>
      <x:c r="Q1129" t="str">
        <x:v>United States</x:v>
      </x:c>
      <x:c r="R1129" t="str">
        <x:v>English</x:v>
      </x:c>
      <x:c r="S1129" t="str">
        <x:v>12A</x:v>
      </x:c>
      <x:c r="T1129" t="n">
        <x:v>163000000</x:v>
      </x:c>
      <x:c r="U1129" t="n">
        <x:v>174800000</x:v>
      </x:c>
      <x:c r="V1129" t="n">
        <x:v>0</x:v>
      </x:c>
      <x:c r="W1129" t="n">
        <x:v>0</x:v>
      </x:c>
    </x:row>
    <x:row r="1130">
      <x:c r="J1130" t="n">
        <x:v>1604</x:v>
      </x:c>
      <x:c r="K1130" t="str">
        <x:v>Knight and Day</x:v>
      </x:c>
      <x:c r="L1130" t="n">
        <x:v>40345</x:v>
      </x:c>
      <x:c r="M1130" t="n">
        <x:v>110</x:v>
      </x:c>
      <x:c r="N1130" t="str">
        <x:v>Action</x:v>
      </x:c>
      <x:c r="O1130" t="str">
        <x:v>James Mangold</x:v>
      </x:c>
      <x:c r="P1130" t="str">
        <x:v>Regency Enterprises</x:v>
      </x:c>
      <x:c r="Q1130" t="str">
        <x:v>United States</x:v>
      </x:c>
      <x:c r="R1130" t="str">
        <x:v>English</x:v>
      </x:c>
      <x:c r="S1130" t="str">
        <x:v>12A</x:v>
      </x:c>
      <x:c r="T1130" t="n">
        <x:v>125000000</x:v>
      </x:c>
      <x:c r="U1130" t="n">
        <x:v>261900000</x:v>
      </x:c>
      <x:c r="V1130" t="n">
        <x:v>0</x:v>
      </x:c>
      <x:c r="W1130" t="n">
        <x:v>0</x:v>
      </x:c>
    </x:row>
    <x:row r="1131">
      <x:c r="J1131" t="n">
        <x:v>1605</x:v>
      </x:c>
      <x:c r="K1131" t="str">
        <x:v>Man on Wire</x:v>
      </x:c>
      <x:c r="L1131" t="n">
        <x:v>39469</x:v>
      </x:c>
      <x:c r="M1131" t="n">
        <x:v>94</x:v>
      </x:c>
      <x:c r="N1131" t="str">
        <x:v>Documentary</x:v>
      </x:c>
      <x:c r="O1131" t="str">
        <x:v>James Marsh</x:v>
      </x:c>
      <x:c r="P1131" t="str">
        <x:v>BBC Films</x:v>
      </x:c>
      <x:c r="Q1131" t="str">
        <x:v>United Kingdom</x:v>
      </x:c>
      <x:c r="R1131" t="str">
        <x:v>English</x:v>
      </x:c>
      <x:c r="S1131" t="n">
        <x:v>12</x:v>
      </x:c>
      <x:c r="T1131" t="n">
        <x:v>1900000</x:v>
      </x:c>
      <x:c r="U1131" t="n">
        <x:v>5300000</x:v>
      </x:c>
      <x:c r="V1131" t="n">
        <x:v>1</x:v>
      </x:c>
      <x:c r="W1131" t="n">
        <x:v>1</x:v>
      </x:c>
    </x:row>
    <x:row r="1132">
      <x:c r="J1132" t="n">
        <x:v>1606</x:v>
      </x:c>
      <x:c r="K1132" t="str">
        <x:v>The Danish Girl</x:v>
      </x:c>
      <x:c r="L1132" t="n">
        <x:v>42252</x:v>
      </x:c>
      <x:c r="M1132" t="n">
        <x:v>119</x:v>
      </x:c>
      <x:c r="N1132" t="str">
        <x:v>Biography</x:v>
      </x:c>
      <x:c r="O1132" t="str">
        <x:v>Tom Hooper</x:v>
      </x:c>
      <x:c r="P1132" t="str">
        <x:v>UK Film Council</x:v>
      </x:c>
      <x:c r="Q1132" t="str">
        <x:v>United Kingdom</x:v>
      </x:c>
      <x:c r="R1132" t="str">
        <x:v>English</x:v>
      </x:c>
      <x:c r="S1132" t="n">
        <x:v>15</x:v>
      </x:c>
      <x:c r="T1132" t="n">
        <x:v>15000000</x:v>
      </x:c>
      <x:c r="U1132" t="n">
        <x:v>64200000</x:v>
      </x:c>
      <x:c r="V1132" t="n">
        <x:v>4</x:v>
      </x:c>
      <x:c r="W1132" t="n">
        <x:v>1</x:v>
      </x:c>
    </x:row>
    <x:row r="1133">
      <x:c r="J1133" t="n">
        <x:v>1607</x:v>
      </x:c>
      <x:c r="K1133" t="str">
        <x:v>Jupiter Ascending</x:v>
      </x:c>
      <x:c r="L1133" t="n">
        <x:v>42031</x:v>
      </x:c>
      <x:c r="M1133" t="n">
        <x:v>127</x:v>
      </x:c>
      <x:c r="N1133" t="str">
        <x:v>Science Fiction</x:v>
      </x:c>
      <x:c r="O1133" t="str">
        <x:v>Lana (Larry) Wachowski</x:v>
      </x:c>
      <x:c r="P1133" t="str">
        <x:v>Village Roadshow Pictures</x:v>
      </x:c>
      <x:c r="Q1133" t="str">
        <x:v>United States</x:v>
      </x:c>
      <x:c r="R1133" t="str">
        <x:v>English</x:v>
      </x:c>
      <x:c r="S1133" t="str">
        <x:v>12A</x:v>
      </x:c>
      <x:c r="T1133" t="n">
        <x:v>176000000</x:v>
      </x:c>
      <x:c r="U1133" t="n">
        <x:v>184000000</x:v>
      </x:c>
      <x:c r="V1133" t="n">
        <x:v>0</x:v>
      </x:c>
      <x:c r="W1133" t="n">
        <x:v>0</x:v>
      </x:c>
    </x:row>
    <x:row r="1134">
      <x:c r="J1134" t="n">
        <x:v>1608</x:v>
      </x:c>
      <x:c r="K1134" t="str">
        <x:v>Black Death</x:v>
      </x:c>
      <x:c r="L1134" t="n">
        <x:v>40340</x:v>
      </x:c>
      <x:c r="M1134" t="n">
        <x:v>101</x:v>
      </x:c>
      <x:c r="N1134" t="str">
        <x:v>Adventure</x:v>
      </x:c>
      <x:c r="O1134" t="str">
        <x:v>Christopher Smith</x:v>
      </x:c>
      <x:c r="P1134" t="str">
        <x:v>Egoli Tossell Film</x:v>
      </x:c>
      <x:c r="Q1134" t="str">
        <x:v>Germany</x:v>
      </x:c>
      <x:c r="R1134" t="str">
        <x:v>English</x:v>
      </x:c>
      <x:c r="S1134" t="n">
        <x:v>15</x:v>
      </x:c>
      <x:c r="T1134"/>
      <x:c r="U1134" t="n">
        <x:v>272445</x:v>
      </x:c>
      <x:c r="V1134" t="n">
        <x:v>0</x:v>
      </x:c>
      <x:c r="W1134" t="n">
        <x:v>0</x:v>
      </x:c>
    </x:row>
    <x:row r="1135">
      <x:c r="J1135" t="n">
        <x:v>1609</x:v>
      </x:c>
      <x:c r="K1135" t="str">
        <x:v>The Other Boleyn Girl</x:v>
      </x:c>
      <x:c r="L1135" t="n">
        <x:v>39493</x:v>
      </x:c>
      <x:c r="M1135" t="n">
        <x:v>115</x:v>
      </x:c>
      <x:c r="N1135" t="str">
        <x:v>Drama</x:v>
      </x:c>
      <x:c r="O1135" t="str">
        <x:v>Justin Chadwick</x:v>
      </x:c>
      <x:c r="P1135" t="str">
        <x:v>BBC Films</x:v>
      </x:c>
      <x:c r="Q1135" t="str">
        <x:v>United Kingdom</x:v>
      </x:c>
      <x:c r="R1135" t="str">
        <x:v>English</x:v>
      </x:c>
      <x:c r="S1135" t="str">
        <x:v>12A</x:v>
      </x:c>
      <x:c r="T1135" t="n">
        <x:v>35000000</x:v>
      </x:c>
      <x:c r="U1135" t="n">
        <x:v>77700000</x:v>
      </x:c>
      <x:c r="V1135" t="n">
        <x:v>0</x:v>
      </x:c>
      <x:c r="W1135" t="n">
        <x:v>0</x:v>
      </x:c>
    </x:row>
    <x:row r="1136">
      <x:c r="J1136" t="n">
        <x:v>1610</x:v>
      </x:c>
      <x:c r="K1136" t="str">
        <x:v>Mandela: Long Walk to Freedom</x:v>
      </x:c>
      <x:c r="L1136" t="n">
        <x:v>41524</x:v>
      </x:c>
      <x:c r="M1136" t="n">
        <x:v>146</x:v>
      </x:c>
      <x:c r="N1136" t="str">
        <x:v>Biography</x:v>
      </x:c>
      <x:c r="O1136" t="str">
        <x:v>Justin Chadwick</x:v>
      </x:c>
      <x:c r="P1136" t="str">
        <x:v>Pathe</x:v>
      </x:c>
      <x:c r="Q1136" t="str">
        <x:v>United Kingdom</x:v>
      </x:c>
      <x:c r="R1136" t="str">
        <x:v>English</x:v>
      </x:c>
      <x:c r="S1136" t="str">
        <x:v>12A</x:v>
      </x:c>
      <x:c r="T1136" t="n">
        <x:v>35000000</x:v>
      </x:c>
      <x:c r="U1136" t="n">
        <x:v>27300000</x:v>
      </x:c>
      <x:c r="V1136" t="n">
        <x:v>1</x:v>
      </x:c>
      <x:c r="W1136" t="n">
        <x:v>0</x:v>
      </x:c>
    </x:row>
    <x:row r="1137">
      <x:c r="J1137" t="n">
        <x:v>1612</x:v>
      </x:c>
      <x:c r="K1137" t="str">
        <x:v>Les Misérables</x:v>
      </x:c>
      <x:c r="L1137" t="n">
        <x:v>41248</x:v>
      </x:c>
      <x:c r="M1137" t="n">
        <x:v>158</x:v>
      </x:c>
      <x:c r="N1137" t="str">
        <x:v>Musical</x:v>
      </x:c>
      <x:c r="O1137" t="str">
        <x:v>Tom Hooper</x:v>
      </x:c>
      <x:c r="P1137" t="str">
        <x:v>UK Film Council</x:v>
      </x:c>
      <x:c r="Q1137" t="str">
        <x:v>United Kingdom</x:v>
      </x:c>
      <x:c r="R1137" t="str">
        <x:v>English</x:v>
      </x:c>
      <x:c r="S1137" t="str">
        <x:v>12A</x:v>
      </x:c>
      <x:c r="T1137" t="n">
        <x:v>61000000</x:v>
      </x:c>
      <x:c r="U1137" t="n">
        <x:v>441800000</x:v>
      </x:c>
      <x:c r="V1137" t="n">
        <x:v>8</x:v>
      </x:c>
      <x:c r="W1137" t="n">
        <x:v>3</x:v>
      </x:c>
    </x:row>
    <x:row r="1138">
      <x:c r="J1138" t="n">
        <x:v>1613</x:v>
      </x:c>
      <x:c r="K1138" t="str">
        <x:v>The King's Speech</x:v>
      </x:c>
      <x:c r="L1138" t="n">
        <x:v>40427</x:v>
      </x:c>
      <x:c r="M1138" t="n">
        <x:v>119</x:v>
      </x:c>
      <x:c r="N1138" t="str">
        <x:v>Biography</x:v>
      </x:c>
      <x:c r="O1138" t="str">
        <x:v>Tom Hooper</x:v>
      </x:c>
      <x:c r="P1138" t="str">
        <x:v>UK Film Council</x:v>
      </x:c>
      <x:c r="Q1138" t="str">
        <x:v>United Kingdom</x:v>
      </x:c>
      <x:c r="R1138" t="str">
        <x:v>English</x:v>
      </x:c>
      <x:c r="S1138" t="str">
        <x:v>12A</x:v>
      </x:c>
      <x:c r="T1138" t="n">
        <x:v>15000000</x:v>
      </x:c>
      <x:c r="U1138" t="n">
        <x:v>414200000</x:v>
      </x:c>
      <x:c r="V1138" t="n">
        <x:v>12</x:v>
      </x:c>
      <x:c r="W1138" t="n">
        <x:v>4</x:v>
      </x:c>
    </x:row>
    <x:row r="1139">
      <x:c r="J1139" t="n">
        <x:v>1614</x:v>
      </x:c>
      <x:c r="K1139" t="str">
        <x:v>Sicario</x:v>
      </x:c>
      <x:c r="L1139" t="n">
        <x:v>42143</x:v>
      </x:c>
      <x:c r="M1139" t="n">
        <x:v>121</x:v>
      </x:c>
      <x:c r="N1139" t="str">
        <x:v>Thriller</x:v>
      </x:c>
      <x:c r="O1139" t="str">
        <x:v>Denis Villeneuve</x:v>
      </x:c>
      <x:c r="P1139" t="str">
        <x:v>Lionsgate</x:v>
      </x:c>
      <x:c r="Q1139" t="str">
        <x:v>United States</x:v>
      </x:c>
      <x:c r="R1139" t="str">
        <x:v>English</x:v>
      </x:c>
      <x:c r="S1139" t="n">
        <x:v>15</x:v>
      </x:c>
      <x:c r="T1139" t="n">
        <x:v>30000000</x:v>
      </x:c>
      <x:c r="U1139" t="n">
        <x:v>85000000</x:v>
      </x:c>
      <x:c r="V1139" t="n">
        <x:v>3</x:v>
      </x:c>
      <x:c r="W1139" t="n">
        <x:v>0</x:v>
      </x:c>
    </x:row>
    <x:row r="1140">
      <x:c r="J1140" t="n">
        <x:v>1615</x:v>
      </x:c>
      <x:c r="K1140" t="str">
        <x:v>Edge of Tomorrow</x:v>
      </x:c>
      <x:c r="L1140" t="n">
        <x:v>41787</x:v>
      </x:c>
      <x:c r="M1140" t="n">
        <x:v>113</x:v>
      </x:c>
      <x:c r="N1140" t="str">
        <x:v>Science Fiction</x:v>
      </x:c>
      <x:c r="O1140" t="str">
        <x:v>Doug Liman</x:v>
      </x:c>
      <x:c r="P1140" t="str">
        <x:v>Village Roadshow Pictures</x:v>
      </x:c>
      <x:c r="Q1140" t="str">
        <x:v>United States</x:v>
      </x:c>
      <x:c r="R1140" t="str">
        <x:v>English</x:v>
      </x:c>
      <x:c r="S1140" t="str">
        <x:v>12A</x:v>
      </x:c>
      <x:c r="T1140" t="n">
        <x:v>178000000</x:v>
      </x:c>
      <x:c r="U1140" t="n">
        <x:v>370500000</x:v>
      </x:c>
      <x:c r="V1140" t="n">
        <x:v>0</x:v>
      </x:c>
      <x:c r="W1140" t="n">
        <x:v>0</x:v>
      </x:c>
    </x:row>
    <x:row r="1141">
      <x:c r="J1141" t="n">
        <x:v>1616</x:v>
      </x:c>
      <x:c r="K1141" t="str">
        <x:v>The Adjustment Bureau</x:v>
      </x:c>
      <x:c r="L1141" t="n">
        <x:v>40588</x:v>
      </x:c>
      <x:c r="M1141" t="n">
        <x:v>106</x:v>
      </x:c>
      <x:c r="N1141" t="str">
        <x:v>Science Fiction</x:v>
      </x:c>
      <x:c r="O1141" t="str">
        <x:v>George Nolfi</x:v>
      </x:c>
      <x:c r="P1141" t="str">
        <x:v>Universal Pictures</x:v>
      </x:c>
      <x:c r="Q1141" t="str">
        <x:v>United States</x:v>
      </x:c>
      <x:c r="R1141" t="str">
        <x:v>English</x:v>
      </x:c>
      <x:c r="S1141" t="str">
        <x:v>12A</x:v>
      </x:c>
      <x:c r="T1141" t="n">
        <x:v>50200000</x:v>
      </x:c>
      <x:c r="U1141" t="n">
        <x:v>127900000</x:v>
      </x:c>
      <x:c r="V1141" t="n">
        <x:v>0</x:v>
      </x:c>
      <x:c r="W1141" t="n">
        <x:v>0</x:v>
      </x:c>
    </x:row>
    <x:row r="1142">
      <x:c r="J1142" t="n">
        <x:v>1617</x:v>
      </x:c>
      <x:c r="K1142" t="str">
        <x:v>The Wolfman</x:v>
      </x:c>
      <x:c r="L1142" t="n">
        <x:v>40205</x:v>
      </x:c>
      <x:c r="M1142" t="n">
        <x:v>103</x:v>
      </x:c>
      <x:c r="N1142" t="str">
        <x:v>Horror</x:v>
      </x:c>
      <x:c r="O1142" t="str">
        <x:v>Joe Johnston</x:v>
      </x:c>
      <x:c r="P1142" t="str">
        <x:v>Relativity Media</x:v>
      </x:c>
      <x:c r="Q1142" t="str">
        <x:v>United States</x:v>
      </x:c>
      <x:c r="R1142" t="str">
        <x:v>English</x:v>
      </x:c>
      <x:c r="S1142" t="n">
        <x:v>15</x:v>
      </x:c>
      <x:c r="T1142" t="n">
        <x:v>150000000</x:v>
      </x:c>
      <x:c r="U1142" t="n">
        <x:v>139800000</x:v>
      </x:c>
      <x:c r="V1142" t="n">
        <x:v>1</x:v>
      </x:c>
      <x:c r="W1142" t="n">
        <x:v>1</x:v>
      </x:c>
    </x:row>
    <x:row r="1143">
      <x:c r="J1143" t="n">
        <x:v>1618</x:v>
      </x:c>
      <x:c r="K1143" t="str">
        <x:v>Charlie Wilson's War</x:v>
      </x:c>
      <x:c r="L1143" t="n">
        <x:v>39437</x:v>
      </x:c>
      <x:c r="M1143" t="n">
        <x:v>100</x:v>
      </x:c>
      <x:c r="N1143" t="str">
        <x:v>Comedy</x:v>
      </x:c>
      <x:c r="O1143" t="str">
        <x:v>Mike Nichols</x:v>
      </x:c>
      <x:c r="P1143" t="str">
        <x:v>Relativity Media</x:v>
      </x:c>
      <x:c r="Q1143" t="str">
        <x:v>United States</x:v>
      </x:c>
      <x:c r="R1143" t="str">
        <x:v>English</x:v>
      </x:c>
      <x:c r="S1143" t="n">
        <x:v>15</x:v>
      </x:c>
      <x:c r="T1143" t="n">
        <x:v>75000000</x:v>
      </x:c>
      <x:c r="U1143" t="n">
        <x:v>119000000</x:v>
      </x:c>
      <x:c r="V1143" t="n">
        <x:v>1</x:v>
      </x:c>
      <x:c r="W1143" t="n">
        <x:v>0</x:v>
      </x:c>
    </x:row>
    <x:row r="1144">
      <x:c r="J1144" t="n">
        <x:v>1619</x:v>
      </x:c>
      <x:c r="K1144" t="str">
        <x:v>Sin City: A Dame to Kill For</x:v>
      </x:c>
      <x:c r="L1144" t="n">
        <x:v>41870</x:v>
      </x:c>
      <x:c r="M1144" t="n">
        <x:v>102</x:v>
      </x:c>
      <x:c r="N1144" t="str">
        <x:v>Action</x:v>
      </x:c>
      <x:c r="O1144" t="str">
        <x:v>Robert Rodriguez</x:v>
      </x:c>
      <x:c r="P1144" t="str">
        <x:v>Dimension Films</x:v>
      </x:c>
      <x:c r="Q1144" t="str">
        <x:v>United States</x:v>
      </x:c>
      <x:c r="R1144" t="str">
        <x:v>English</x:v>
      </x:c>
      <x:c r="S1144" t="n">
        <x:v>18</x:v>
      </x:c>
      <x:c r="T1144" t="n">
        <x:v>65000000</x:v>
      </x:c>
      <x:c r="U1144" t="n">
        <x:v>39400000</x:v>
      </x:c>
      <x:c r="V1144" t="n">
        <x:v>0</x:v>
      </x:c>
      <x:c r="W1144" t="n">
        <x:v>0</x:v>
      </x:c>
    </x:row>
    <x:row r="1145">
      <x:c r="J1145" t="n">
        <x:v>1620</x:v>
      </x:c>
      <x:c r="K1145" t="str">
        <x:v>Shame</x:v>
      </x:c>
      <x:c r="L1145" t="n">
        <x:v>40790</x:v>
      </x:c>
      <x:c r="M1145" t="n">
        <x:v>101</x:v>
      </x:c>
      <x:c r="N1145" t="str">
        <x:v>Drama</x:v>
      </x:c>
      <x:c r="O1145" t="str">
        <x:v>Steve McQueen</x:v>
      </x:c>
      <x:c r="P1145" t="str">
        <x:v>FilmFour Productions</x:v>
      </x:c>
      <x:c r="Q1145" t="str">
        <x:v>United Kingdom</x:v>
      </x:c>
      <x:c r="R1145" t="str">
        <x:v>English</x:v>
      </x:c>
      <x:c r="S1145" t="n">
        <x:v>18</x:v>
      </x:c>
      <x:c r="T1145" t="n">
        <x:v>6500000</x:v>
      </x:c>
      <x:c r="U1145" t="n">
        <x:v>17700000</x:v>
      </x:c>
      <x:c r="V1145" t="n">
        <x:v>0</x:v>
      </x:c>
      <x:c r="W1145" t="n">
        <x:v>0</x:v>
      </x:c>
    </x:row>
    <x:row r="1146">
      <x:c r="J1146" t="n">
        <x:v>1621</x:v>
      </x:c>
      <x:c r="K1146" t="str">
        <x:v>Ant-Man</x:v>
      </x:c>
      <x:c r="L1146" t="n">
        <x:v>42184</x:v>
      </x:c>
      <x:c r="M1146" t="n">
        <x:v>117</x:v>
      </x:c>
      <x:c r="N1146" t="str">
        <x:v>Action</x:v>
      </x:c>
      <x:c r="O1146" t="str">
        <x:v>Peyton Reed</x:v>
      </x:c>
      <x:c r="P1146" t="str">
        <x:v>Marvel Entertainment</x:v>
      </x:c>
      <x:c r="Q1146" t="str">
        <x:v>United States</x:v>
      </x:c>
      <x:c r="R1146" t="str">
        <x:v>English</x:v>
      </x:c>
      <x:c r="S1146" t="str">
        <x:v>12A</x:v>
      </x:c>
      <x:c r="T1146" t="n">
        <x:v>130000000</x:v>
      </x:c>
      <x:c r="U1146" t="n">
        <x:v>519300000</x:v>
      </x:c>
      <x:c r="V1146" t="n">
        <x:v>0</x:v>
      </x:c>
      <x:c r="W1146" t="n">
        <x:v>0</x:v>
      </x:c>
    </x:row>
    <x:row r="1147">
      <x:c r="J1147" t="n">
        <x:v>1622</x:v>
      </x:c>
      <x:c r="K1147" t="str">
        <x:v>3:10 to Yuma</x:v>
      </x:c>
      <x:c r="L1147" t="n">
        <x:v>39316</x:v>
      </x:c>
      <x:c r="M1147" t="n">
        <x:v>122</x:v>
      </x:c>
      <x:c r="N1147" t="str">
        <x:v>Western</x:v>
      </x:c>
      <x:c r="O1147" t="str">
        <x:v>James Mangold</x:v>
      </x:c>
      <x:c r="P1147" t="str">
        <x:v>Relativity Media</x:v>
      </x:c>
      <x:c r="Q1147" t="str">
        <x:v>United States</x:v>
      </x:c>
      <x:c r="R1147" t="str">
        <x:v>English</x:v>
      </x:c>
      <x:c r="S1147" t="n">
        <x:v>15</x:v>
      </x:c>
      <x:c r="T1147" t="n">
        <x:v>55000000</x:v>
      </x:c>
      <x:c r="U1147" t="n">
        <x:v>70000000</x:v>
      </x:c>
      <x:c r="V1147" t="n">
        <x:v>2</x:v>
      </x:c>
      <x:c r="W1147" t="n">
        <x:v>0</x:v>
      </x:c>
    </x:row>
    <x:row r="1148">
      <x:c r="J1148" t="n">
        <x:v>1623</x:v>
      </x:c>
      <x:c r="K1148" t="str">
        <x:v>3:10 to Yuma</x:v>
      </x:c>
      <x:c r="L1148" t="n">
        <x:v>21039</x:v>
      </x:c>
      <x:c r="M1148" t="n">
        <x:v>92</x:v>
      </x:c>
      <x:c r="N1148" t="str">
        <x:v>Western</x:v>
      </x:c>
      <x:c r="O1148" t="str">
        <x:v>Delmer Daves</x:v>
      </x:c>
      <x:c r="P1148" t="str">
        <x:v>Columbia Pictures</x:v>
      </x:c>
      <x:c r="Q1148" t="str">
        <x:v>United States</x:v>
      </x:c>
      <x:c r="R1148" t="str">
        <x:v>English</x:v>
      </x:c>
      <x:c r="S1148" t="str">
        <x:v>PG</x:v>
      </x:c>
      <x:c r="T1148"/>
      <x:c r="U1148" t="n">
        <x:v>1850000</x:v>
      </x:c>
      <x:c r="V1148" t="n">
        <x:v>0</x:v>
      </x:c>
      <x:c r="W1148" t="n">
        <x:v>0</x:v>
      </x:c>
    </x:row>
    <x:row r="1149">
      <x:c r="J1149" t="n">
        <x:v>1624</x:v>
      </x:c>
      <x:c r="K1149" t="str">
        <x:v>The Wolverine</x:v>
      </x:c>
      <x:c r="L1149" t="n">
        <x:v>41471</x:v>
      </x:c>
      <x:c r="M1149" t="n">
        <x:v>126</x:v>
      </x:c>
      <x:c r="N1149" t="str">
        <x:v>Action</x:v>
      </x:c>
      <x:c r="O1149" t="str">
        <x:v>James Mangold</x:v>
      </x:c>
      <x:c r="P1149" t="str">
        <x:v>Marvel Entertainment</x:v>
      </x:c>
      <x:c r="Q1149" t="str">
        <x:v>United States</x:v>
      </x:c>
      <x:c r="R1149" t="str">
        <x:v>English</x:v>
      </x:c>
      <x:c r="S1149" t="str">
        <x:v>12A</x:v>
      </x:c>
      <x:c r="T1149" t="n">
        <x:v>120000000</x:v>
      </x:c>
      <x:c r="U1149" t="n">
        <x:v>414800000</x:v>
      </x:c>
      <x:c r="V1149" t="n">
        <x:v>0</x:v>
      </x:c>
      <x:c r="W1149" t="n">
        <x:v>0</x:v>
      </x:c>
    </x:row>
    <x:row r="1150">
      <x:c r="J1150" t="n">
        <x:v>1625</x:v>
      </x:c>
      <x:c r="K1150" t="str">
        <x:v>Rush</x:v>
      </x:c>
      <x:c r="L1150" t="n">
        <x:v>41519</x:v>
      </x:c>
      <x:c r="M1150" t="n">
        <x:v>122</x:v>
      </x:c>
      <x:c r="N1150" t="str">
        <x:v>Sport</x:v>
      </x:c>
      <x:c r="O1150" t="str">
        <x:v>Ron Howard</x:v>
      </x:c>
      <x:c r="P1150" t="str">
        <x:v>Imagine Entertainment</x:v>
      </x:c>
      <x:c r="Q1150" t="str">
        <x:v>United Kingdom</x:v>
      </x:c>
      <x:c r="R1150" t="str">
        <x:v>English</x:v>
      </x:c>
      <x:c r="S1150" t="n">
        <x:v>15</x:v>
      </x:c>
      <x:c r="T1150" t="n">
        <x:v>38000000</x:v>
      </x:c>
      <x:c r="U1150" t="n">
        <x:v>98200000</x:v>
      </x:c>
      <x:c r="V1150" t="n">
        <x:v>0</x:v>
      </x:c>
      <x:c r="W1150" t="n">
        <x:v>0</x:v>
      </x:c>
    </x:row>
    <x:row r="1151">
      <x:c r="J1151" t="n">
        <x:v>1626</x:v>
      </x:c>
      <x:c r="K1151" t="str">
        <x:v>Solaris</x:v>
      </x:c>
      <x:c r="L1151" t="n">
        <x:v>37589</x:v>
      </x:c>
      <x:c r="M1151" t="n">
        <x:v>98</x:v>
      </x:c>
      <x:c r="N1151" t="str">
        <x:v>Science Fiction</x:v>
      </x:c>
      <x:c r="O1151" t="str">
        <x:v>Steven Soderbergh</x:v>
      </x:c>
      <x:c r="P1151" t="str">
        <x:v>Lightstorm Entertainment</x:v>
      </x:c>
      <x:c r="Q1151" t="str">
        <x:v>United States</x:v>
      </x:c>
      <x:c r="R1151" t="str">
        <x:v>English</x:v>
      </x:c>
      <x:c r="S1151" t="str">
        <x:v>12A</x:v>
      </x:c>
      <x:c r="T1151" t="n">
        <x:v>47000000</x:v>
      </x:c>
      <x:c r="U1151" t="n">
        <x:v>30000000</x:v>
      </x:c>
      <x:c r="V1151" t="n">
        <x:v>0</x:v>
      </x:c>
      <x:c r="W1151" t="n">
        <x:v>0</x:v>
      </x:c>
    </x:row>
    <x:row r="1152">
      <x:c r="J1152" t="n">
        <x:v>1627</x:v>
      </x:c>
      <x:c r="K1152" t="str">
        <x:v>Magic Mike</x:v>
      </x:c>
      <x:c r="L1152" t="n">
        <x:v>41084</x:v>
      </x:c>
      <x:c r="M1152" t="n">
        <x:v>110</x:v>
      </x:c>
      <x:c r="N1152" t="str">
        <x:v>Drama</x:v>
      </x:c>
      <x:c r="O1152" t="str">
        <x:v>Steven Soderbergh</x:v>
      </x:c>
      <x:c r="P1152" t="str">
        <x:v>Warner Bros. Pictures</x:v>
      </x:c>
      <x:c r="Q1152" t="str">
        <x:v>United States</x:v>
      </x:c>
      <x:c r="R1152" t="str">
        <x:v>English</x:v>
      </x:c>
      <x:c r="S1152" t="n">
        <x:v>15</x:v>
      </x:c>
      <x:c r="T1152" t="n">
        <x:v>7000000</x:v>
      </x:c>
      <x:c r="U1152" t="n">
        <x:v>167200000</x:v>
      </x:c>
      <x:c r="V1152" t="n">
        <x:v>0</x:v>
      </x:c>
      <x:c r="W1152" t="n">
        <x:v>0</x:v>
      </x:c>
    </x:row>
    <x:row r="1153">
      <x:c r="J1153" t="n">
        <x:v>1628</x:v>
      </x:c>
      <x:c r="K1153" t="str">
        <x:v>The Three Musketeers</x:v>
      </x:c>
      <x:c r="L1153" t="n">
        <x:v>34285</x:v>
      </x:c>
      <x:c r="M1153" t="n">
        <x:v>105</x:v>
      </x:c>
      <x:c r="N1153" t="str">
        <x:v>Adventure</x:v>
      </x:c>
      <x:c r="O1153" t="str">
        <x:v>Stephen Herek</x:v>
      </x:c>
      <x:c r="P1153" t="str">
        <x:v>Walt Disney Pictures</x:v>
      </x:c>
      <x:c r="Q1153" t="str">
        <x:v>United States</x:v>
      </x:c>
      <x:c r="R1153" t="str">
        <x:v>English</x:v>
      </x:c>
      <x:c r="S1153" t="str">
        <x:v>PG</x:v>
      </x:c>
      <x:c r="T1153" t="n">
        <x:v>30000000</x:v>
      </x:c>
      <x:c r="U1153" t="n">
        <x:v>53900000</x:v>
      </x:c>
      <x:c r="V1153" t="n">
        <x:v>0</x:v>
      </x:c>
      <x:c r="W1153" t="n">
        <x:v>0</x:v>
      </x:c>
    </x:row>
    <x:row r="1154">
      <x:c r="J1154" t="n">
        <x:v>1629</x:v>
      </x:c>
      <x:c r="K1154" t="str">
        <x:v>Mr. Holland's Opus</x:v>
      </x:c>
      <x:c r="L1154" t="n">
        <x:v>35062</x:v>
      </x:c>
      <x:c r="M1154" t="n">
        <x:v>143</x:v>
      </x:c>
      <x:c r="N1154" t="str">
        <x:v>Drama</x:v>
      </x:c>
      <x:c r="O1154" t="str">
        <x:v>Stephen Herek</x:v>
      </x:c>
      <x:c r="P1154" t="str">
        <x:v>Polygram Filmed Entertainment</x:v>
      </x:c>
      <x:c r="Q1154" t="str">
        <x:v>United States</x:v>
      </x:c>
      <x:c r="R1154" t="str">
        <x:v>English</x:v>
      </x:c>
      <x:c r="S1154" t="str">
        <x:v>PG</x:v>
      </x:c>
      <x:c r="T1154" t="n">
        <x:v>31000000</x:v>
      </x:c>
      <x:c r="U1154" t="n">
        <x:v>106269000</x:v>
      </x:c>
      <x:c r="V1154" t="n">
        <x:v>1</x:v>
      </x:c>
      <x:c r="W1154" t="n">
        <x:v>0</x:v>
      </x:c>
    </x:row>
    <x:row r="1155">
      <x:c r="J1155" t="n">
        <x:v>1630</x:v>
      </x:c>
      <x:c r="K1155" t="str">
        <x:v>The Mighty Ducks</x:v>
      </x:c>
      <x:c r="L1155" t="n">
        <x:v>33879</x:v>
      </x:c>
      <x:c r="M1155" t="n">
        <x:v>101</x:v>
      </x:c>
      <x:c r="N1155" t="str">
        <x:v>Comedy</x:v>
      </x:c>
      <x:c r="O1155" t="str">
        <x:v>Stephen Herek</x:v>
      </x:c>
      <x:c r="P1155" t="str">
        <x:v>Walt Disney Pictures</x:v>
      </x:c>
      <x:c r="Q1155" t="str">
        <x:v>United States</x:v>
      </x:c>
      <x:c r="R1155" t="str">
        <x:v>English</x:v>
      </x:c>
      <x:c r="S1155" t="str">
        <x:v>PG</x:v>
      </x:c>
      <x:c r="T1155" t="n">
        <x:v>10000000</x:v>
      </x:c>
      <x:c r="U1155" t="n">
        <x:v>50700000</x:v>
      </x:c>
      <x:c r="V1155" t="n">
        <x:v>0</x:v>
      </x:c>
      <x:c r="W1155" t="n">
        <x:v>0</x:v>
      </x:c>
    </x:row>
    <x:row r="1156">
      <x:c r="J1156" t="n">
        <x:v>1631</x:v>
      </x:c>
      <x:c r="K1156" t="str">
        <x:v>Young Guns</x:v>
      </x:c>
      <x:c r="L1156" t="n">
        <x:v>32367</x:v>
      </x:c>
      <x:c r="M1156" t="n">
        <x:v>103</x:v>
      </x:c>
      <x:c r="N1156" t="str">
        <x:v>Western</x:v>
      </x:c>
      <x:c r="O1156" t="str">
        <x:v>Christopher Cain</x:v>
      </x:c>
      <x:c r="P1156" t="str">
        <x:v>Morgan Creek Productions</x:v>
      </x:c>
      <x:c r="Q1156" t="str">
        <x:v>United States</x:v>
      </x:c>
      <x:c r="R1156" t="str">
        <x:v>English</x:v>
      </x:c>
      <x:c r="S1156" t="n">
        <x:v>18</x:v>
      </x:c>
      <x:c r="T1156" t="n">
        <x:v>11000000</x:v>
      </x:c>
      <x:c r="U1156" t="n">
        <x:v>45661000</x:v>
      </x:c>
      <x:c r="V1156" t="n">
        <x:v>0</x:v>
      </x:c>
      <x:c r="W1156" t="n">
        <x:v>0</x:v>
      </x:c>
    </x:row>
    <x:row r="1157">
      <x:c r="J1157" t="n">
        <x:v>1632</x:v>
      </x:c>
      <x:c r="K1157" t="str">
        <x:v>Young Guns II: Blaze of Glory</x:v>
      </x:c>
      <x:c r="L1157" t="n">
        <x:v>33086</x:v>
      </x:c>
      <x:c r="M1157" t="n">
        <x:v>104</x:v>
      </x:c>
      <x:c r="N1157" t="str">
        <x:v>Western</x:v>
      </x:c>
      <x:c r="O1157" t="str">
        <x:v>Geoff Murphy</x:v>
      </x:c>
      <x:c r="P1157" t="str">
        <x:v>Morgan Creek Productions</x:v>
      </x:c>
      <x:c r="Q1157" t="str">
        <x:v>United States</x:v>
      </x:c>
      <x:c r="R1157" t="str">
        <x:v>English</x:v>
      </x:c>
      <x:c r="S1157" t="n">
        <x:v>12</x:v>
      </x:c>
      <x:c r="T1157" t="n">
        <x:v>10000000</x:v>
      </x:c>
      <x:c r="U1157" t="n">
        <x:v>44143000</x:v>
      </x:c>
      <x:c r="V1157" t="n">
        <x:v>1</x:v>
      </x:c>
      <x:c r="W1157" t="n">
        <x:v>0</x:v>
      </x:c>
    </x:row>
    <x:row r="1158">
      <x:c r="J1158" t="n">
        <x:v>1633</x:v>
      </x:c>
      <x:c r="K1158" t="str">
        <x:v>The Lost Boys</x:v>
      </x:c>
      <x:c r="L1158" t="n">
        <x:v>31989</x:v>
      </x:c>
      <x:c r="M1158" t="n">
        <x:v>98</x:v>
      </x:c>
      <x:c r="N1158" t="str">
        <x:v>Horror</x:v>
      </x:c>
      <x:c r="O1158" t="str">
        <x:v>Joel Schumacher</x:v>
      </x:c>
      <x:c r="P1158" t="str">
        <x:v>Warner Bros. Pictures</x:v>
      </x:c>
      <x:c r="Q1158" t="str">
        <x:v>United States</x:v>
      </x:c>
      <x:c r="R1158" t="str">
        <x:v>English</x:v>
      </x:c>
      <x:c r="S1158" t="n">
        <x:v>15</x:v>
      </x:c>
      <x:c r="T1158" t="n">
        <x:v>8500000</x:v>
      </x:c>
      <x:c r="U1158" t="n">
        <x:v>32200000</x:v>
      </x:c>
      <x:c r="V1158" t="n">
        <x:v>0</x:v>
      </x:c>
      <x:c r="W1158" t="n">
        <x:v>0</x:v>
      </x:c>
    </x:row>
    <x:row r="1159">
      <x:c r="J1159" t="n">
        <x:v>1634</x:v>
      </x:c>
      <x:c r="K1159" t="str">
        <x:v>Flatliners</x:v>
      </x:c>
      <x:c r="L1159" t="n">
        <x:v>33095</x:v>
      </x:c>
      <x:c r="M1159" t="n">
        <x:v>115</x:v>
      </x:c>
      <x:c r="N1159" t="str">
        <x:v>Horror</x:v>
      </x:c>
      <x:c r="O1159" t="str">
        <x:v>Joel Schumacher</x:v>
      </x:c>
      <x:c r="P1159" t="str">
        <x:v>Columbia Pictures</x:v>
      </x:c>
      <x:c r="Q1159" t="str">
        <x:v>United States</x:v>
      </x:c>
      <x:c r="R1159" t="str">
        <x:v>English</x:v>
      </x:c>
      <x:c r="S1159" t="n">
        <x:v>15</x:v>
      </x:c>
      <x:c r="T1159" t="n">
        <x:v>26000000</x:v>
      </x:c>
      <x:c r="U1159" t="n">
        <x:v>61500000</x:v>
      </x:c>
      <x:c r="V1159" t="n">
        <x:v>1</x:v>
      </x:c>
      <x:c r="W1159" t="n">
        <x:v>0</x:v>
      </x:c>
    </x:row>
    <x:row r="1160">
      <x:c r="J1160" t="n">
        <x:v>1635</x:v>
      </x:c>
      <x:c r="K1160" t="str">
        <x:v>21 Jump Street</x:v>
      </x:c>
      <x:c r="L1160" t="n">
        <x:v>40984</x:v>
      </x:c>
      <x:c r="M1160" t="n">
        <x:v>109</x:v>
      </x:c>
      <x:c r="N1160" t="str">
        <x:v>Comedy</x:v>
      </x:c>
      <x:c r="O1160" t="str">
        <x:v>Phil Lord</x:v>
      </x:c>
      <x:c r="P1160" t="str">
        <x:v>Relativity Media</x:v>
      </x:c>
      <x:c r="Q1160" t="str">
        <x:v>United States</x:v>
      </x:c>
      <x:c r="R1160" t="str">
        <x:v>English</x:v>
      </x:c>
      <x:c r="S1160" t="n">
        <x:v>15</x:v>
      </x:c>
      <x:c r="T1160" t="n">
        <x:v>55000000</x:v>
      </x:c>
      <x:c r="U1160" t="n">
        <x:v>201500000</x:v>
      </x:c>
      <x:c r="V1160" t="n">
        <x:v>0</x:v>
      </x:c>
      <x:c r="W1160" t="n">
        <x:v>0</x:v>
      </x:c>
    </x:row>
    <x:row r="1161">
      <x:c r="J1161" t="n">
        <x:v>1636</x:v>
      </x:c>
      <x:c r="K1161" t="str">
        <x:v>Cloudy with a Chance of Meatballs</x:v>
      </x:c>
      <x:c r="L1161" t="n">
        <x:v>40074</x:v>
      </x:c>
      <x:c r="M1161" t="n">
        <x:v>90</x:v>
      </x:c>
      <x:c r="N1161" t="str">
        <x:v>Animation</x:v>
      </x:c>
      <x:c r="O1161" t="str">
        <x:v>Phil Lord</x:v>
      </x:c>
      <x:c r="P1161" t="str">
        <x:v>Sony Pictures</x:v>
      </x:c>
      <x:c r="Q1161" t="str">
        <x:v>United States</x:v>
      </x:c>
      <x:c r="R1161" t="str">
        <x:v>English</x:v>
      </x:c>
      <x:c r="S1161" t="str">
        <x:v>U</x:v>
      </x:c>
      <x:c r="T1161" t="n">
        <x:v>100000000</x:v>
      </x:c>
      <x:c r="U1161" t="n">
        <x:v>243000000</x:v>
      </x:c>
      <x:c r="V1161" t="n">
        <x:v>0</x:v>
      </x:c>
      <x:c r="W1161" t="n">
        <x:v>0</x:v>
      </x:c>
    </x:row>
    <x:row r="1162">
      <x:c r="J1162" t="n">
        <x:v>1637</x:v>
      </x:c>
      <x:c r="K1162" t="str">
        <x:v>Anastasia</x:v>
      </x:c>
      <x:c r="L1162" t="n">
        <x:v>20802</x:v>
      </x:c>
      <x:c r="M1162" t="n">
        <x:v>105</x:v>
      </x:c>
      <x:c r="N1162" t="str">
        <x:v>Drama</x:v>
      </x:c>
      <x:c r="O1162" t="str">
        <x:v>Anatole Litvak</x:v>
      </x:c>
      <x:c r="P1162" t="str">
        <x:v>20th Century Fox</x:v>
      </x:c>
      <x:c r="Q1162" t="str">
        <x:v>United States</x:v>
      </x:c>
      <x:c r="R1162" t="str">
        <x:v>English</x:v>
      </x:c>
      <x:c r="S1162" t="str">
        <x:v>U</x:v>
      </x:c>
      <x:c r="T1162" t="n">
        <x:v>3520000</x:v>
      </x:c>
      <x:c r="U1162" t="n">
        <x:v>5000000</x:v>
      </x:c>
      <x:c r="V1162" t="n">
        <x:v>2</x:v>
      </x:c>
      <x:c r="W1162" t="n">
        <x:v>1</x:v>
      </x:c>
    </x:row>
    <x:row r="1163">
      <x:c r="J1163" t="n">
        <x:v>1638</x:v>
      </x:c>
      <x:c r="K1163" t="str">
        <x:v>Hot Rod</x:v>
      </x:c>
      <x:c r="L1163" t="n">
        <x:v>39297</x:v>
      </x:c>
      <x:c r="M1163" t="n">
        <x:v>88</x:v>
      </x:c>
      <x:c r="N1163" t="str">
        <x:v>Comedy</x:v>
      </x:c>
      <x:c r="O1163" t="str">
        <x:v>Akiva Schaffer</x:v>
      </x:c>
      <x:c r="P1163" t="str">
        <x:v>Paramount Pictures</x:v>
      </x:c>
      <x:c r="Q1163" t="str">
        <x:v>United States</x:v>
      </x:c>
      <x:c r="R1163" t="str">
        <x:v>English</x:v>
      </x:c>
      <x:c r="S1163" t="str">
        <x:v>12A</x:v>
      </x:c>
      <x:c r="T1163" t="n">
        <x:v>25300000</x:v>
      </x:c>
      <x:c r="U1163" t="n">
        <x:v>14334000</x:v>
      </x:c>
      <x:c r="V1163" t="n">
        <x:v>0</x:v>
      </x:c>
      <x:c r="W1163" t="n">
        <x:v>0</x:v>
      </x:c>
    </x:row>
    <x:row r="1164">
      <x:c r="J1164" t="n">
        <x:v>1639</x:v>
      </x:c>
      <x:c r="K1164" t="str">
        <x:v>Cloudy with a Chance of Meatballs 2</x:v>
      </x:c>
      <x:c r="L1164" t="n">
        <x:v>41544</x:v>
      </x:c>
      <x:c r="M1164" t="n">
        <x:v>95</x:v>
      </x:c>
      <x:c r="N1164" t="str">
        <x:v>Animation</x:v>
      </x:c>
      <x:c r="O1164" t="str">
        <x:v>Cody Cameron</x:v>
      </x:c>
      <x:c r="P1164" t="str">
        <x:v>Sony Pictures</x:v>
      </x:c>
      <x:c r="Q1164" t="str">
        <x:v>United States</x:v>
      </x:c>
      <x:c r="R1164" t="str">
        <x:v>English</x:v>
      </x:c>
      <x:c r="S1164" t="str">
        <x:v>U</x:v>
      </x:c>
      <x:c r="T1164" t="n">
        <x:v>78000000</x:v>
      </x:c>
      <x:c r="U1164" t="n">
        <x:v>274300000</x:v>
      </x:c>
      <x:c r="V1164" t="n">
        <x:v>0</x:v>
      </x:c>
      <x:c r="W1164" t="n">
        <x:v>0</x:v>
      </x:c>
    </x:row>
    <x:row r="1165">
      <x:c r="J1165" t="n">
        <x:v>1640</x:v>
      </x:c>
      <x:c r="K1165" t="str">
        <x:v>The Lego Movie</x:v>
      </x:c>
      <x:c r="L1165" t="n">
        <x:v>41677</x:v>
      </x:c>
      <x:c r="M1165" t="n">
        <x:v>100</x:v>
      </x:c>
      <x:c r="N1165" t="str">
        <x:v>Animation</x:v>
      </x:c>
      <x:c r="O1165" t="str">
        <x:v>Phil Lord</x:v>
      </x:c>
      <x:c r="P1165" t="str">
        <x:v>Village Roadshow Pictures</x:v>
      </x:c>
      <x:c r="Q1165" t="str">
        <x:v>United States</x:v>
      </x:c>
      <x:c r="R1165" t="str">
        <x:v>English</x:v>
      </x:c>
      <x:c r="S1165" t="str">
        <x:v>U</x:v>
      </x:c>
      <x:c r="T1165" t="n">
        <x:v>60000000</x:v>
      </x:c>
      <x:c r="U1165" t="n">
        <x:v>469200000</x:v>
      </x:c>
      <x:c r="V1165" t="n">
        <x:v>1</x:v>
      </x:c>
      <x:c r="W1165" t="n">
        <x:v>0</x:v>
      </x:c>
    </x:row>
    <x:row r="1166">
      <x:c r="J1166" t="n">
        <x:v>1641</x:v>
      </x:c>
      <x:c r="K1166" t="str">
        <x:v>Bad Boys</x:v>
      </x:c>
      <x:c r="L1166" t="n">
        <x:v>34796</x:v>
      </x:c>
      <x:c r="M1166" t="n">
        <x:v>119</x:v>
      </x:c>
      <x:c r="N1166" t="str">
        <x:v>Action</x:v>
      </x:c>
      <x:c r="O1166" t="str">
        <x:v>Michael Bay</x:v>
      </x:c>
      <x:c r="P1166" t="str">
        <x:v>Jerry Bruckheimer Films</x:v>
      </x:c>
      <x:c r="Q1166" t="str">
        <x:v>United States</x:v>
      </x:c>
      <x:c r="R1166" t="str">
        <x:v>English</x:v>
      </x:c>
      <x:c r="S1166" t="n">
        <x:v>18</x:v>
      </x:c>
      <x:c r="T1166" t="n">
        <x:v>23000000</x:v>
      </x:c>
      <x:c r="U1166" t="n">
        <x:v>141400000</x:v>
      </x:c>
      <x:c r="V1166" t="n">
        <x:v>0</x:v>
      </x:c>
      <x:c r="W1166" t="n">
        <x:v>0</x:v>
      </x:c>
    </x:row>
    <x:row r="1167">
      <x:c r="J1167" t="n">
        <x:v>1642</x:v>
      </x:c>
      <x:c r="K1167" t="str">
        <x:v>22 Jump Street</x:v>
      </x:c>
      <x:c r="L1167" t="n">
        <x:v>41803</x:v>
      </x:c>
      <x:c r="M1167" t="n">
        <x:v>112</x:v>
      </x:c>
      <x:c r="N1167" t="str">
        <x:v>Comedy</x:v>
      </x:c>
      <x:c r="O1167" t="str">
        <x:v>Phil Lord</x:v>
      </x:c>
      <x:c r="P1167" t="str">
        <x:v>Original Film</x:v>
      </x:c>
      <x:c r="Q1167" t="str">
        <x:v>United States</x:v>
      </x:c>
      <x:c r="R1167" t="str">
        <x:v>English</x:v>
      </x:c>
      <x:c r="S1167" t="n">
        <x:v>15</x:v>
      </x:c>
      <x:c r="T1167" t="n">
        <x:v>84500000</x:v>
      </x:c>
      <x:c r="U1167" t="n">
        <x:v>331300000</x:v>
      </x:c>
      <x:c r="V1167" t="n">
        <x:v>0</x:v>
      </x:c>
      <x:c r="W1167" t="n">
        <x:v>0</x:v>
      </x:c>
    </x:row>
    <x:row r="1168">
      <x:c r="J1168" t="n">
        <x:v>1643</x:v>
      </x:c>
      <x:c r="K1168" t="str">
        <x:v>Ice Age: Collision Course</x:v>
      </x:c>
      <x:c r="L1168" t="n">
        <x:v>42573</x:v>
      </x:c>
      <x:c r="M1168" t="n">
        <x:v>94</x:v>
      </x:c>
      <x:c r="N1168" t="str">
        <x:v>Animation</x:v>
      </x:c>
      <x:c r="O1168" t="str">
        <x:v>Mike Thurmeier</x:v>
      </x:c>
      <x:c r="P1168" t="str">
        <x:v>20th Century Fox</x:v>
      </x:c>
      <x:c r="Q1168" t="str">
        <x:v>United States</x:v>
      </x:c>
      <x:c r="R1168" t="str">
        <x:v>English</x:v>
      </x:c>
      <x:c r="S1168" t="str">
        <x:v>U</x:v>
      </x:c>
      <x:c r="T1168" t="n">
        <x:v>105000000</x:v>
      </x:c>
      <x:c r="U1168" t="n">
        <x:v>407700000</x:v>
      </x:c>
      <x:c r="V1168" t="n">
        <x:v>0</x:v>
      </x:c>
      <x:c r="W1168" t="n">
        <x:v>0</x:v>
      </x:c>
    </x:row>
    <x:row r="1169">
      <x:c r="J1169" t="n">
        <x:v>1644</x:v>
      </x:c>
      <x:c r="K1169" t="str">
        <x:v>The Eagle</x:v>
      </x:c>
      <x:c r="L1169" t="n">
        <x:v>40627</x:v>
      </x:c>
      <x:c r="M1169" t="n">
        <x:v>114</x:v>
      </x:c>
      <x:c r="N1169" t="str">
        <x:v>Adventure</x:v>
      </x:c>
      <x:c r="O1169" t="str">
        <x:v>Kevin Macdonald</x:v>
      </x:c>
      <x:c r="P1169" t="str">
        <x:v>FilmFour Productions</x:v>
      </x:c>
      <x:c r="Q1169" t="str">
        <x:v>United Kingdom</x:v>
      </x:c>
      <x:c r="R1169" t="str">
        <x:v>English</x:v>
      </x:c>
      <x:c r="S1169" t="str">
        <x:v>12A</x:v>
      </x:c>
      <x:c r="T1169" t="n">
        <x:v>25000000</x:v>
      </x:c>
      <x:c r="U1169" t="n">
        <x:v>35500000</x:v>
      </x:c>
      <x:c r="V1169" t="n">
        <x:v>0</x:v>
      </x:c>
      <x:c r="W1169" t="n">
        <x:v>0</x:v>
      </x:c>
    </x:row>
    <x:row r="1170">
      <x:c r="J1170" t="n">
        <x:v>1645</x:v>
      </x:c>
      <x:c r="K1170" t="str">
        <x:v>The Last King of Scotland</x:v>
      </x:c>
      <x:c r="L1170" t="n">
        <x:v>39094</x:v>
      </x:c>
      <x:c r="M1170" t="n">
        <x:v>123</x:v>
      </x:c>
      <x:c r="N1170" t="str">
        <x:v>Drama</x:v>
      </x:c>
      <x:c r="O1170" t="str">
        <x:v>Kevin Macdonald</x:v>
      </x:c>
      <x:c r="P1170" t="str">
        <x:v>FilmFour Productions</x:v>
      </x:c>
      <x:c r="Q1170" t="str">
        <x:v>United Kingdom</x:v>
      </x:c>
      <x:c r="R1170" t="str">
        <x:v>English</x:v>
      </x:c>
      <x:c r="S1170" t="n">
        <x:v>15</x:v>
      </x:c>
      <x:c r="T1170" t="n">
        <x:v>6000000</x:v>
      </x:c>
      <x:c r="U1170" t="n">
        <x:v>48400000</x:v>
      </x:c>
      <x:c r="V1170" t="n">
        <x:v>1</x:v>
      </x:c>
      <x:c r="W1170" t="n">
        <x:v>1</x:v>
      </x:c>
    </x:row>
    <x:row r="1171">
      <x:c r="J1171" t="n">
        <x:v>1646</x:v>
      </x:c>
      <x:c r="K1171" t="str">
        <x:v>Centurion</x:v>
      </x:c>
      <x:c r="L1171" t="n">
        <x:v>40291</x:v>
      </x:c>
      <x:c r="M1171" t="n">
        <x:v>97</x:v>
      </x:c>
      <x:c r="N1171" t="str">
        <x:v>Adventure</x:v>
      </x:c>
      <x:c r="O1171" t="str">
        <x:v>Neil Marshall</x:v>
      </x:c>
      <x:c r="P1171" t="str">
        <x:v>UK Film Council</x:v>
      </x:c>
      <x:c r="Q1171" t="str">
        <x:v>United Kingdom</x:v>
      </x:c>
      <x:c r="R1171" t="str">
        <x:v>English</x:v>
      </x:c>
      <x:c r="S1171" t="n">
        <x:v>15</x:v>
      </x:c>
      <x:c r="T1171" t="n">
        <x:v>12000000</x:v>
      </x:c>
      <x:c r="U1171" t="n">
        <x:v>6168000</x:v>
      </x:c>
      <x:c r="V1171" t="n">
        <x:v>0</x:v>
      </x:c>
      <x:c r="W1171" t="n">
        <x:v>0</x:v>
      </x:c>
    </x:row>
    <x:row r="1172">
      <x:c r="J1172" t="n">
        <x:v>1647</x:v>
      </x:c>
      <x:c r="K1172" t="str">
        <x:v>Jason and the Argonauts</x:v>
      </x:c>
      <x:c r="L1172" t="n">
        <x:v>23181</x:v>
      </x:c>
      <x:c r="M1172" t="n">
        <x:v>101</x:v>
      </x:c>
      <x:c r="N1172" t="str">
        <x:v>Fantasy</x:v>
      </x:c>
      <x:c r="O1172" t="str">
        <x:v>Don Chaffey</x:v>
      </x:c>
      <x:c r="P1172" t="str">
        <x:v>Columbia Pictures</x:v>
      </x:c>
      <x:c r="Q1172" t="str">
        <x:v>United Kingdom</x:v>
      </x:c>
      <x:c r="R1172" t="str">
        <x:v>English</x:v>
      </x:c>
      <x:c r="S1172" t="str">
        <x:v>U</x:v>
      </x:c>
      <x:c r="T1172" t="n">
        <x:v>1000000</x:v>
      </x:c>
      <x:c r="U1172" t="n">
        <x:v>2100000</x:v>
      </x:c>
      <x:c r="V1172" t="n">
        <x:v>0</x:v>
      </x:c>
      <x:c r="W1172" t="n">
        <x:v>0</x:v>
      </x:c>
    </x:row>
    <x:row r="1173">
      <x:c r="J1173" t="n">
        <x:v>1648</x:v>
      </x:c>
      <x:c r="K1173" t="str">
        <x:v>Pete's Dragon</x:v>
      </x:c>
      <x:c r="L1173" t="n">
        <x:v>28432</x:v>
      </x:c>
      <x:c r="M1173" t="n">
        <x:v>134</x:v>
      </x:c>
      <x:c r="N1173" t="str">
        <x:v>Fantasy</x:v>
      </x:c>
      <x:c r="O1173" t="str">
        <x:v>Don Chaffey</x:v>
      </x:c>
      <x:c r="P1173" t="str">
        <x:v>Walt Disney Pictures</x:v>
      </x:c>
      <x:c r="Q1173" t="str">
        <x:v>United States</x:v>
      </x:c>
      <x:c r="R1173" t="str">
        <x:v>English</x:v>
      </x:c>
      <x:c r="S1173" t="str">
        <x:v>U</x:v>
      </x:c>
      <x:c r="T1173" t="n">
        <x:v>10000000</x:v>
      </x:c>
      <x:c r="U1173" t="n">
        <x:v>39600000</x:v>
      </x:c>
      <x:c r="V1173" t="n">
        <x:v>2</x:v>
      </x:c>
      <x:c r="W1173" t="n">
        <x:v>0</x:v>
      </x:c>
    </x:row>
    <x:row r="1174">
      <x:c r="J1174" t="n">
        <x:v>1649</x:v>
      </x:c>
      <x:c r="K1174" t="str">
        <x:v>Pete's Dragon</x:v>
      </x:c>
      <x:c r="L1174" t="n">
        <x:v>42594</x:v>
      </x:c>
      <x:c r="M1174" t="n">
        <x:v>102</x:v>
      </x:c>
      <x:c r="N1174" t="str">
        <x:v>Fantasy</x:v>
      </x:c>
      <x:c r="O1174" t="str">
        <x:v>David Lowery</x:v>
      </x:c>
      <x:c r="P1174" t="str">
        <x:v>Walt Disney Pictures</x:v>
      </x:c>
      <x:c r="Q1174" t="str">
        <x:v>United States</x:v>
      </x:c>
      <x:c r="R1174" t="str">
        <x:v>English</x:v>
      </x:c>
      <x:c r="S1174" t="str">
        <x:v>PG</x:v>
      </x:c>
      <x:c r="T1174" t="n">
        <x:v>65000000</x:v>
      </x:c>
      <x:c r="U1174" t="n">
        <x:v>142400000</x:v>
      </x:c>
      <x:c r="V1174" t="n">
        <x:v>0</x:v>
      </x:c>
      <x:c r="W1174" t="n">
        <x:v>0</x:v>
      </x:c>
    </x:row>
    <x:row r="1175">
      <x:c r="J1175" t="n">
        <x:v>1650</x:v>
      </x:c>
      <x:c r="K1175" t="str">
        <x:v>One Million Years B.C.</x:v>
      </x:c>
      <x:c r="L1175" t="n">
        <x:v>24471</x:v>
      </x:c>
      <x:c r="M1175" t="n">
        <x:v>100</x:v>
      </x:c>
      <x:c r="N1175" t="str">
        <x:v>Adventure</x:v>
      </x:c>
      <x:c r="O1175" t="str">
        <x:v>Don Chaffey</x:v>
      </x:c>
      <x:c r="P1175" t="str">
        <x:v>Hammer Film Productions</x:v>
      </x:c>
      <x:c r="Q1175" t="str">
        <x:v>United Kingdom</x:v>
      </x:c>
      <x:c r="R1175" t="str">
        <x:v>English</x:v>
      </x:c>
      <x:c r="S1175" t="str">
        <x:v>PG</x:v>
      </x:c>
      <x:c r="T1175" t="n">
        <x:v>500000</x:v>
      </x:c>
      <x:c r="U1175" t="n">
        <x:v>8000000</x:v>
      </x:c>
      <x:c r="V1175" t="n">
        <x:v>0</x:v>
      </x:c>
      <x:c r="W1175" t="n">
        <x:v>0</x:v>
      </x:c>
    </x:row>
    <x:row r="1176">
      <x:c r="J1176" t="n">
        <x:v>1651</x:v>
      </x:c>
      <x:c r="K1176" t="str">
        <x:v>The Three Musketeers</x:v>
      </x:c>
      <x:c r="L1176" t="n">
        <x:v>27009</x:v>
      </x:c>
      <x:c r="M1176" t="n">
        <x:v>105</x:v>
      </x:c>
      <x:c r="N1176" t="str">
        <x:v>Adventure</x:v>
      </x:c>
      <x:c r="O1176" t="str">
        <x:v>Richard Lester</x:v>
      </x:c>
      <x:c r="P1176" t="str">
        <x:v>20th Century Fox</x:v>
      </x:c>
      <x:c r="Q1176" t="str">
        <x:v>United Kingdom</x:v>
      </x:c>
      <x:c r="R1176" t="str">
        <x:v>English</x:v>
      </x:c>
      <x:c r="S1176" t="str">
        <x:v>U</x:v>
      </x:c>
      <x:c r="T1176"/>
      <x:c r="U1176" t="n">
        <x:v>10100000</x:v>
      </x:c>
      <x:c r="V1176" t="n">
        <x:v>0</x:v>
      </x:c>
      <x:c r="W1176" t="n">
        <x:v>0</x:v>
      </x:c>
    </x:row>
    <x:row r="1177">
      <x:c r="J1177" t="n">
        <x:v>1652</x:v>
      </x:c>
      <x:c r="K1177" t="str">
        <x:v>The Return of the Musketeers</x:v>
      </x:c>
      <x:c r="L1177" t="n">
        <x:v>32617</x:v>
      </x:c>
      <x:c r="M1177" t="n">
        <x:v>102</x:v>
      </x:c>
      <x:c r="N1177" t="str">
        <x:v>Adventure</x:v>
      </x:c>
      <x:c r="O1177" t="str">
        <x:v>Richard Lester</x:v>
      </x:c>
      <x:c r="P1177" t="str">
        <x:v>Universal Pictures</x:v>
      </x:c>
      <x:c r="Q1177" t="str">
        <x:v>United Kingdom</x:v>
      </x:c>
      <x:c r="R1177" t="str">
        <x:v>English</x:v>
      </x:c>
      <x:c r="S1177" t="str">
        <x:v>PG</x:v>
      </x:c>
      <x:c r="T1177"/>
      <x:c r="U1177"/>
      <x:c r="V1177" t="n">
        <x:v>0</x:v>
      </x:c>
      <x:c r="W1177" t="n">
        <x:v>0</x:v>
      </x:c>
    </x:row>
    <x:row r="1178">
      <x:c r="J1178" t="n">
        <x:v>1653</x:v>
      </x:c>
      <x:c r="K1178" t="str">
        <x:v>Superman III</x:v>
      </x:c>
      <x:c r="L1178" t="n">
        <x:v>30484</x:v>
      </x:c>
      <x:c r="M1178" t="n">
        <x:v>125</x:v>
      </x:c>
      <x:c r="N1178" t="str">
        <x:v>Action</x:v>
      </x:c>
      <x:c r="O1178" t="str">
        <x:v>Richard Lester</x:v>
      </x:c>
      <x:c r="P1178" t="str">
        <x:v>Dovemead</x:v>
      </x:c>
      <x:c r="Q1178" t="str">
        <x:v>United Kingdom</x:v>
      </x:c>
      <x:c r="R1178" t="str">
        <x:v>English</x:v>
      </x:c>
      <x:c r="S1178" t="str">
        <x:v>PG</x:v>
      </x:c>
      <x:c r="T1178" t="n">
        <x:v>39000000</x:v>
      </x:c>
      <x:c r="U1178" t="n">
        <x:v>80200000</x:v>
      </x:c>
      <x:c r="V1178" t="n">
        <x:v>0</x:v>
      </x:c>
      <x:c r="W1178" t="n">
        <x:v>0</x:v>
      </x:c>
    </x:row>
    <x:row r="1179">
      <x:c r="J1179" t="n">
        <x:v>1654</x:v>
      </x:c>
      <x:c r="K1179" t="str">
        <x:v>The Four Musketeers</x:v>
      </x:c>
      <x:c r="L1179" t="n">
        <x:v>27333</x:v>
      </x:c>
      <x:c r="M1179" t="n">
        <x:v>108</x:v>
      </x:c>
      <x:c r="N1179" t="str">
        <x:v>Adventure</x:v>
      </x:c>
      <x:c r="O1179" t="str">
        <x:v>Richard Lester</x:v>
      </x:c>
      <x:c r="P1179" t="str">
        <x:v>20th Century Fox</x:v>
      </x:c>
      <x:c r="Q1179" t="str">
        <x:v>United Kingdom</x:v>
      </x:c>
      <x:c r="R1179" t="str">
        <x:v>English</x:v>
      </x:c>
      <x:c r="S1179" t="str">
        <x:v>PG</x:v>
      </x:c>
      <x:c r="T1179"/>
      <x:c r="U1179" t="n">
        <x:v>8760000</x:v>
      </x:c>
      <x:c r="V1179" t="n">
        <x:v>1</x:v>
      </x:c>
      <x:c r="W1179" t="n">
        <x:v>0</x:v>
      </x:c>
    </x:row>
    <x:row r="1180">
      <x:c r="J1180" t="n">
        <x:v>1655</x:v>
      </x:c>
      <x:c r="K1180" t="str">
        <x:v>Fantastic Voyage</x:v>
      </x:c>
      <x:c r="L1180" t="n">
        <x:v>24343</x:v>
      </x:c>
      <x:c r="M1180" t="n">
        <x:v>100</x:v>
      </x:c>
      <x:c r="N1180" t="str">
        <x:v>Science Fiction</x:v>
      </x:c>
      <x:c r="O1180" t="str">
        <x:v>Richard Fleischer</x:v>
      </x:c>
      <x:c r="P1180" t="str">
        <x:v>20th Century Fox</x:v>
      </x:c>
      <x:c r="Q1180" t="str">
        <x:v>United States</x:v>
      </x:c>
      <x:c r="R1180" t="str">
        <x:v>English</x:v>
      </x:c>
      <x:c r="S1180" t="str">
        <x:v>PG</x:v>
      </x:c>
      <x:c r="T1180" t="n">
        <x:v>5100000</x:v>
      </x:c>
      <x:c r="U1180" t="n">
        <x:v>12000000</x:v>
      </x:c>
      <x:c r="V1180" t="n">
        <x:v>5</x:v>
      </x:c>
      <x:c r="W1180" t="n">
        <x:v>2</x:v>
      </x:c>
    </x:row>
    <x:row r="1181">
      <x:c r="J1181" t="n">
        <x:v>1656</x:v>
      </x:c>
      <x:c r="K1181" t="str">
        <x:v>Julius Caesar</x:v>
      </x:c>
      <x:c r="L1181" t="n">
        <x:v>25723</x:v>
      </x:c>
      <x:c r="M1181" t="n">
        <x:v>116</x:v>
      </x:c>
      <x:c r="N1181" t="str">
        <x:v>History</x:v>
      </x:c>
      <x:c r="O1181" t="str">
        <x:v>Stuart Burge</x:v>
      </x:c>
      <x:c r="P1181" t="str">
        <x:v>Commonwealth United Entertainment</x:v>
      </x:c>
      <x:c r="Q1181" t="str">
        <x:v>United Kingdom</x:v>
      </x:c>
      <x:c r="R1181" t="str">
        <x:v>English</x:v>
      </x:c>
      <x:c r="S1181" t="str">
        <x:v>U</x:v>
      </x:c>
      <x:c r="T1181"/>
      <x:c r="U1181"/>
      <x:c r="V1181" t="n">
        <x:v>0</x:v>
      </x:c>
      <x:c r="W1181" t="n">
        <x:v>0</x:v>
      </x:c>
    </x:row>
    <x:row r="1182">
      <x:c r="J1182" t="n">
        <x:v>1657</x:v>
      </x:c>
      <x:c r="K1182" t="str">
        <x:v>Othello</x:v>
      </x:c>
      <x:c r="L1182" t="n">
        <x:v>24091</x:v>
      </x:c>
      <x:c r="M1182" t="n">
        <x:v>165</x:v>
      </x:c>
      <x:c r="N1182" t="str">
        <x:v>Drama</x:v>
      </x:c>
      <x:c r="O1182" t="str">
        <x:v>Stuart Burge</x:v>
      </x:c>
      <x:c r="P1182" t="str">
        <x:v>BHE Films</x:v>
      </x:c>
      <x:c r="Q1182" t="str">
        <x:v>United Kingdom</x:v>
      </x:c>
      <x:c r="R1182" t="str">
        <x:v>English</x:v>
      </x:c>
      <x:c r="S1182" t="str">
        <x:v>U</x:v>
      </x:c>
      <x:c r="T1182"/>
      <x:c r="U1182"/>
      <x:c r="V1182" t="n">
        <x:v>4</x:v>
      </x:c>
      <x:c r="W1182" t="n">
        <x:v>0</x:v>
      </x:c>
    </x:row>
    <x:row r="1183">
      <x:c r="J1183" t="n">
        <x:v>1658</x:v>
      </x:c>
      <x:c r="K1183" t="str">
        <x:v>Julius Caesar</x:v>
      </x:c>
      <x:c r="L1183" t="n">
        <x:v>19514</x:v>
      </x:c>
      <x:c r="M1183" t="n">
        <x:v>121</x:v>
      </x:c>
      <x:c r="N1183" t="str">
        <x:v>History</x:v>
      </x:c>
      <x:c r="O1183" t="str">
        <x:v>Joseph L. Mankiewicz</x:v>
      </x:c>
      <x:c r="P1183" t="str">
        <x:v>Metro-Goldwyn-Mayer</x:v>
      </x:c>
      <x:c r="Q1183" t="str">
        <x:v>United States</x:v>
      </x:c>
      <x:c r="R1183" t="str">
        <x:v>English</x:v>
      </x:c>
      <x:c r="S1183" t="str">
        <x:v>PG</x:v>
      </x:c>
      <x:c r="T1183" t="n">
        <x:v>2070000</x:v>
      </x:c>
      <x:c r="U1183" t="n">
        <x:v>3920000</x:v>
      </x:c>
      <x:c r="V1183" t="n">
        <x:v>5</x:v>
      </x:c>
      <x:c r="W1183" t="n">
        <x:v>1</x:v>
      </x:c>
    </x:row>
    <x:row r="1184">
      <x:c r="J1184" t="n">
        <x:v>1659</x:v>
      </x:c>
      <x:c r="K1184" t="str">
        <x:v>Othello</x:v>
      </x:c>
      <x:c r="L1184" t="n">
        <x:v>18961</x:v>
      </x:c>
      <x:c r="M1184" t="n">
        <x:v>91</x:v>
      </x:c>
      <x:c r="N1184" t="str">
        <x:v>Drama</x:v>
      </x:c>
      <x:c r="O1184" t="str">
        <x:v>Orson Welles</x:v>
      </x:c>
      <x:c r="P1184" t="str">
        <x:v>United Artists</x:v>
      </x:c>
      <x:c r="Q1184" t="str">
        <x:v>United States</x:v>
      </x:c>
      <x:c r="R1184" t="str">
        <x:v>English</x:v>
      </x:c>
      <x:c r="S1184" t="str">
        <x:v>U</x:v>
      </x:c>
      <x:c r="T1184"/>
      <x:c r="U1184"/>
      <x:c r="V1184" t="n">
        <x:v>0</x:v>
      </x:c>
      <x:c r="W1184" t="n">
        <x:v>0</x:v>
      </x:c>
    </x:row>
    <x:row r="1185">
      <x:c r="J1185" t="n">
        <x:v>1660</x:v>
      </x:c>
      <x:c r="K1185" t="str">
        <x:v>King Solomon's Mines</x:v>
      </x:c>
      <x:c r="L1185" t="n">
        <x:v>31373</x:v>
      </x:c>
      <x:c r="M1185" t="n">
        <x:v>100</x:v>
      </x:c>
      <x:c r="N1185" t="str">
        <x:v>Adventure</x:v>
      </x:c>
      <x:c r="O1185" t="str">
        <x:v>J. Lee Thompson</x:v>
      </x:c>
      <x:c r="P1185" t="str">
        <x:v>Cannon Productions</x:v>
      </x:c>
      <x:c r="Q1185" t="str">
        <x:v>United States</x:v>
      </x:c>
      <x:c r="R1185" t="str">
        <x:v>English</x:v>
      </x:c>
      <x:c r="S1185" t="str">
        <x:v>PG</x:v>
      </x:c>
      <x:c r="T1185" t="n">
        <x:v>11000000</x:v>
      </x:c>
      <x:c r="U1185" t="n">
        <x:v>15057000</x:v>
      </x:c>
      <x:c r="V1185" t="n">
        <x:v>0</x:v>
      </x:c>
      <x:c r="W1185" t="n">
        <x:v>0</x:v>
      </x:c>
    </x:row>
    <x:row r="1186">
      <x:c r="J1186" t="n">
        <x:v>1661</x:v>
      </x:c>
      <x:c r="K1186" t="str">
        <x:v>King Solomon's Mines</x:v>
      </x:c>
      <x:c r="L1186" t="n">
        <x:v>13683</x:v>
      </x:c>
      <x:c r="M1186" t="n">
        <x:v>80</x:v>
      </x:c>
      <x:c r="N1186" t="str">
        <x:v>Adventure</x:v>
      </x:c>
      <x:c r="O1186" t="str">
        <x:v>Robert Stevenson</x:v>
      </x:c>
      <x:c r="P1186" t="str">
        <x:v>Gaumont</x:v>
      </x:c>
      <x:c r="Q1186" t="str">
        <x:v>United Kingdom</x:v>
      </x:c>
      <x:c r="R1186" t="str">
        <x:v>English</x:v>
      </x:c>
      <x:c r="S1186" t="str">
        <x:v>U</x:v>
      </x:c>
      <x:c r="T1186"/>
      <x:c r="U1186"/>
      <x:c r="V1186" t="n">
        <x:v>0</x:v>
      </x:c>
      <x:c r="W1186" t="n">
        <x:v>0</x:v>
      </x:c>
    </x:row>
    <x:row r="1187">
      <x:c r="J1187" t="n">
        <x:v>1662</x:v>
      </x:c>
      <x:c r="K1187" t="str">
        <x:v>East of Eden</x:v>
      </x:c>
      <x:c r="L1187" t="n">
        <x:v>20157</x:v>
      </x:c>
      <x:c r="M1187" t="n">
        <x:v>117</x:v>
      </x:c>
      <x:c r="N1187" t="str">
        <x:v>Drama</x:v>
      </x:c>
      <x:c r="O1187" t="str">
        <x:v>Elia Kazan</x:v>
      </x:c>
      <x:c r="P1187" t="str">
        <x:v>Warner Bros. Pictures</x:v>
      </x:c>
      <x:c r="Q1187" t="str">
        <x:v>United States</x:v>
      </x:c>
      <x:c r="R1187" t="str">
        <x:v>English</x:v>
      </x:c>
      <x:c r="S1187" t="str">
        <x:v>PG</x:v>
      </x:c>
      <x:c r="T1187"/>
      <x:c r="U1187" t="n">
        <x:v>5000000</x:v>
      </x:c>
      <x:c r="V1187" t="n">
        <x:v>4</x:v>
      </x:c>
      <x:c r="W1187" t="n">
        <x:v>1</x:v>
      </x:c>
    </x:row>
    <x:row r="1188">
      <x:c r="J1188" t="n">
        <x:v>1663</x:v>
      </x:c>
      <x:c r="K1188" t="str">
        <x:v>Giant</x:v>
      </x:c>
      <x:c r="L1188" t="n">
        <x:v>20783</x:v>
      </x:c>
      <x:c r="M1188" t="n">
        <x:v>201</x:v>
      </x:c>
      <x:c r="N1188" t="str">
        <x:v>Western</x:v>
      </x:c>
      <x:c r="O1188" t="str">
        <x:v>George Stevens</x:v>
      </x:c>
      <x:c r="P1188" t="str">
        <x:v>Warner Bros. Pictures</x:v>
      </x:c>
      <x:c r="Q1188" t="str">
        <x:v>United States</x:v>
      </x:c>
      <x:c r="R1188" t="str">
        <x:v>English</x:v>
      </x:c>
      <x:c r="S1188" t="str">
        <x:v>PG</x:v>
      </x:c>
      <x:c r="T1188" t="n">
        <x:v>5400000</x:v>
      </x:c>
      <x:c r="U1188" t="n">
        <x:v>39000000</x:v>
      </x:c>
      <x:c r="V1188" t="n">
        <x:v>10</x:v>
      </x:c>
      <x:c r="W1188" t="n">
        <x:v>1</x:v>
      </x:c>
    </x:row>
    <x:row r="1189">
      <x:c r="J1189" t="n">
        <x:v>1664</x:v>
      </x:c>
      <x:c r="K1189" t="str">
        <x:v>Rebel Without a Cause</x:v>
      </x:c>
      <x:c r="L1189" t="n">
        <x:v>20389</x:v>
      </x:c>
      <x:c r="M1189" t="n">
        <x:v>111</x:v>
      </x:c>
      <x:c r="N1189" t="str">
        <x:v>Drama</x:v>
      </x:c>
      <x:c r="O1189" t="str">
        <x:v>Nicholas Ray</x:v>
      </x:c>
      <x:c r="P1189" t="str">
        <x:v>Warner Bros. Pictures</x:v>
      </x:c>
      <x:c r="Q1189" t="str">
        <x:v>United States</x:v>
      </x:c>
      <x:c r="R1189" t="str">
        <x:v>English</x:v>
      </x:c>
      <x:c r="S1189" t="str">
        <x:v>PG</x:v>
      </x:c>
      <x:c r="T1189" t="n">
        <x:v>1500000</x:v>
      </x:c>
      <x:c r="U1189" t="n">
        <x:v>4500000</x:v>
      </x:c>
      <x:c r="V1189" t="n">
        <x:v>3</x:v>
      </x:c>
      <x:c r="W1189" t="n">
        <x:v>0</x:v>
      </x:c>
    </x:row>
    <x:row r="1190">
      <x:c r="J1190" t="n">
        <x:v>1665</x:v>
      </x:c>
      <x:c r="K1190" t="str">
        <x:v>Miracle on 34th Street</x:v>
      </x:c>
      <x:c r="L1190" t="n">
        <x:v>34656</x:v>
      </x:c>
      <x:c r="M1190" t="n">
        <x:v>114</x:v>
      </x:c>
      <x:c r="N1190" t="str">
        <x:v>Family</x:v>
      </x:c>
      <x:c r="O1190" t="str">
        <x:v>Les Mayfield</x:v>
      </x:c>
      <x:c r="P1190" t="str">
        <x:v>Hughes Entertainment</x:v>
      </x:c>
      <x:c r="Q1190" t="str">
        <x:v>United States</x:v>
      </x:c>
      <x:c r="R1190" t="str">
        <x:v>English</x:v>
      </x:c>
      <x:c r="S1190" t="str">
        <x:v>U</x:v>
      </x:c>
      <x:c r="T1190"/>
      <x:c r="U1190" t="n">
        <x:v>46300000</x:v>
      </x:c>
      <x:c r="V1190" t="n">
        <x:v>0</x:v>
      </x:c>
      <x:c r="W1190" t="n">
        <x:v>0</x:v>
      </x:c>
    </x:row>
    <x:row r="1191">
      <x:c r="J1191" t="n">
        <x:v>1666</x:v>
      </x:c>
      <x:c r="K1191" t="str">
        <x:v>Gentleman's Agreement</x:v>
      </x:c>
      <x:c r="L1191" t="n">
        <x:v>17482</x:v>
      </x:c>
      <x:c r="M1191" t="n">
        <x:v>118</x:v>
      </x:c>
      <x:c r="N1191" t="str">
        <x:v>Drama</x:v>
      </x:c>
      <x:c r="O1191" t="str">
        <x:v>Elia Kazan</x:v>
      </x:c>
      <x:c r="P1191" t="str">
        <x:v>20th Century Fox</x:v>
      </x:c>
      <x:c r="Q1191" t="str">
        <x:v>United States</x:v>
      </x:c>
      <x:c r="R1191" t="str">
        <x:v>English</x:v>
      </x:c>
      <x:c r="S1191" t="str">
        <x:v>PG</x:v>
      </x:c>
      <x:c r="T1191" t="n">
        <x:v>1985000</x:v>
      </x:c>
      <x:c r="U1191" t="n">
        <x:v>7800000</x:v>
      </x:c>
      <x:c r="V1191" t="n">
        <x:v>8</x:v>
      </x:c>
      <x:c r="W1191" t="n">
        <x:v>3</x:v>
      </x:c>
    </x:row>
    <x:row r="1192">
      <x:c r="J1192" t="n">
        <x:v>1667</x:v>
      </x:c>
      <x:c r="K1192" t="str">
        <x:v>Viva Zapata!</x:v>
      </x:c>
      <x:c r="L1192" t="n">
        <x:v>19031</x:v>
      </x:c>
      <x:c r="M1192" t="n">
        <x:v>113</x:v>
      </x:c>
      <x:c r="N1192" t="str">
        <x:v>Biography</x:v>
      </x:c>
      <x:c r="O1192" t="str">
        <x:v>Elia Kazan</x:v>
      </x:c>
      <x:c r="P1192" t="str">
        <x:v>20th Century Fox</x:v>
      </x:c>
      <x:c r="Q1192" t="str">
        <x:v>United States</x:v>
      </x:c>
      <x:c r="R1192" t="str">
        <x:v>English</x:v>
      </x:c>
      <x:c r="S1192" t="str">
        <x:v>PG</x:v>
      </x:c>
      <x:c r="T1192" t="n">
        <x:v>1800000</x:v>
      </x:c>
      <x:c r="U1192" t="n">
        <x:v>1900000</x:v>
      </x:c>
      <x:c r="V1192" t="n">
        <x:v>5</x:v>
      </x:c>
      <x:c r="W1192" t="n">
        <x:v>1</x:v>
      </x:c>
    </x:row>
    <x:row r="1193">
      <x:c r="J1193" t="n">
        <x:v>1668</x:v>
      </x:c>
      <x:c r="K1193" t="str">
        <x:v>On the Waterfront</x:v>
      </x:c>
      <x:c r="L1193" t="n">
        <x:v>19933</x:v>
      </x:c>
      <x:c r="M1193" t="n">
        <x:v>108</x:v>
      </x:c>
      <x:c r="N1193" t="str">
        <x:v>Crime</x:v>
      </x:c>
      <x:c r="O1193" t="str">
        <x:v>Elia Kazan</x:v>
      </x:c>
      <x:c r="P1193" t="str">
        <x:v>Horizon Pictures</x:v>
      </x:c>
      <x:c r="Q1193" t="str">
        <x:v>United States</x:v>
      </x:c>
      <x:c r="R1193" t="str">
        <x:v>English</x:v>
      </x:c>
      <x:c r="S1193" t="str">
        <x:v>PG</x:v>
      </x:c>
      <x:c r="T1193" t="n">
        <x:v>910000</x:v>
      </x:c>
      <x:c r="U1193" t="n">
        <x:v>9600000</x:v>
      </x:c>
      <x:c r="V1193" t="n">
        <x:v>12</x:v>
      </x:c>
      <x:c r="W1193" t="n">
        <x:v>8</x:v>
      </x:c>
    </x:row>
    <x:row r="1194">
      <x:c r="J1194" t="n">
        <x:v>1669</x:v>
      </x:c>
      <x:c r="K1194" t="str">
        <x:v>Ice Cold in Alex</x:v>
      </x:c>
      <x:c r="L1194" t="n">
        <x:v>21360</x:v>
      </x:c>
      <x:c r="M1194" t="n">
        <x:v>130</x:v>
      </x:c>
      <x:c r="N1194" t="str">
        <x:v>War</x:v>
      </x:c>
      <x:c r="O1194" t="str">
        <x:v>J. Lee Thompson</x:v>
      </x:c>
      <x:c r="P1194" t="str">
        <x:v>Pathe</x:v>
      </x:c>
      <x:c r="Q1194" t="str">
        <x:v>United Kingdom</x:v>
      </x:c>
      <x:c r="R1194" t="str">
        <x:v>English</x:v>
      </x:c>
      <x:c r="S1194" t="str">
        <x:v>PG</x:v>
      </x:c>
      <x:c r="T1194"/>
      <x:c r="U1194"/>
      <x:c r="V1194" t="n">
        <x:v>0</x:v>
      </x:c>
      <x:c r="W1194" t="n">
        <x:v>0</x:v>
      </x:c>
    </x:row>
    <x:row r="1195">
      <x:c r="J1195" t="n">
        <x:v>1670</x:v>
      </x:c>
      <x:c r="K1195" t="str">
        <x:v>The Diary of Anne Frank</x:v>
      </x:c>
      <x:c r="L1195" t="n">
        <x:v>21627</x:v>
      </x:c>
      <x:c r="M1195" t="n">
        <x:v>180</x:v>
      </x:c>
      <x:c r="N1195" t="str">
        <x:v>Drama</x:v>
      </x:c>
      <x:c r="O1195" t="str">
        <x:v>George Stevens</x:v>
      </x:c>
      <x:c r="P1195" t="str">
        <x:v>20th Century Fox</x:v>
      </x:c>
      <x:c r="Q1195" t="str">
        <x:v>United States</x:v>
      </x:c>
      <x:c r="R1195" t="str">
        <x:v>English</x:v>
      </x:c>
      <x:c r="S1195" t="str">
        <x:v>U</x:v>
      </x:c>
      <x:c r="T1195" t="n">
        <x:v>3800000</x:v>
      </x:c>
      <x:c r="U1195" t="n">
        <x:v>2300000</x:v>
      </x:c>
      <x:c r="V1195" t="n">
        <x:v>8</x:v>
      </x:c>
      <x:c r="W1195" t="n">
        <x:v>3</x:v>
      </x:c>
    </x:row>
    <x:row r="1196">
      <x:c r="J1196" t="n">
        <x:v>1671</x:v>
      </x:c>
      <x:c r="K1196" t="str">
        <x:v>The Greatest Story Ever Told</x:v>
      </x:c>
      <x:c r="L1196" t="n">
        <x:v>23841</x:v>
      </x:c>
      <x:c r="M1196" t="n">
        <x:v>260</x:v>
      </x:c>
      <x:c r="N1196" t="str">
        <x:v>Drama</x:v>
      </x:c>
      <x:c r="O1196" t="str">
        <x:v>George Stevens</x:v>
      </x:c>
      <x:c r="P1196" t="str">
        <x:v>United Artists</x:v>
      </x:c>
      <x:c r="Q1196" t="str">
        <x:v>United States</x:v>
      </x:c>
      <x:c r="R1196" t="str">
        <x:v>English</x:v>
      </x:c>
      <x:c r="S1196" t="str">
        <x:v>U</x:v>
      </x:c>
      <x:c r="T1196" t="n">
        <x:v>21000000</x:v>
      </x:c>
      <x:c r="U1196" t="n">
        <x:v>15473000</x:v>
      </x:c>
      <x:c r="V1196" t="n">
        <x:v>5</x:v>
      </x:c>
      <x:c r="W1196" t="n">
        <x:v>0</x:v>
      </x:c>
    </x:row>
    <x:row r="1197">
      <x:c r="J1197" t="n">
        <x:v>1672</x:v>
      </x:c>
      <x:c r="K1197" t="str">
        <x:v>A Place in the Sun</x:v>
      </x:c>
      <x:c r="L1197" t="n">
        <x:v>18854</x:v>
      </x:c>
      <x:c r="M1197" t="n">
        <x:v>122</x:v>
      </x:c>
      <x:c r="N1197" t="str">
        <x:v>Drama</x:v>
      </x:c>
      <x:c r="O1197" t="str">
        <x:v>George Stevens</x:v>
      </x:c>
      <x:c r="P1197" t="str">
        <x:v>Paramount Pictures</x:v>
      </x:c>
      <x:c r="Q1197" t="str">
        <x:v>United States</x:v>
      </x:c>
      <x:c r="R1197" t="str">
        <x:v>English</x:v>
      </x:c>
      <x:c r="S1197" t="str">
        <x:v>PG</x:v>
      </x:c>
      <x:c r="T1197" t="n">
        <x:v>2295000</x:v>
      </x:c>
      <x:c r="U1197" t="n">
        <x:v>7000000</x:v>
      </x:c>
      <x:c r="V1197" t="n">
        <x:v>9</x:v>
      </x:c>
      <x:c r="W1197" t="n">
        <x:v>6</x:v>
      </x:c>
    </x:row>
    <x:row r="1198">
      <x:c r="J1198" t="n">
        <x:v>1673</x:v>
      </x:c>
      <x:c r="K1198" t="str">
        <x:v>The Talk of the Town</x:v>
      </x:c>
      <x:c r="L1198" t="n">
        <x:v>15573</x:v>
      </x:c>
      <x:c r="M1198" t="n">
        <x:v>118</x:v>
      </x:c>
      <x:c r="N1198" t="str">
        <x:v>Comedy</x:v>
      </x:c>
      <x:c r="O1198" t="str">
        <x:v>George Stevens</x:v>
      </x:c>
      <x:c r="P1198" t="str">
        <x:v>Columbia Pictures</x:v>
      </x:c>
      <x:c r="Q1198" t="str">
        <x:v>United States</x:v>
      </x:c>
      <x:c r="R1198" t="str">
        <x:v>English</x:v>
      </x:c>
      <x:c r="S1198" t="str">
        <x:v>U</x:v>
      </x:c>
      <x:c r="T1198" t="n">
        <x:v>1000000</x:v>
      </x:c>
      <x:c r="U1198" t="n">
        <x:v>1100000</x:v>
      </x:c>
      <x:c r="V1198" t="n">
        <x:v>7</x:v>
      </x:c>
      <x:c r="W1198" t="n">
        <x:v>0</x:v>
      </x:c>
    </x:row>
    <x:row r="1199">
      <x:c r="J1199" t="n">
        <x:v>1674</x:v>
      </x:c>
      <x:c r="K1199" t="str">
        <x:v>Samson and Delilah</x:v>
      </x:c>
      <x:c r="L1199" t="n">
        <x:v>18253</x:v>
      </x:c>
      <x:c r="M1199" t="n">
        <x:v>128</x:v>
      </x:c>
      <x:c r="N1199" t="str">
        <x:v>Drama</x:v>
      </x:c>
      <x:c r="O1199" t="str">
        <x:v>Cecil B. DeMille</x:v>
      </x:c>
      <x:c r="P1199" t="str">
        <x:v>Paramount Pictures</x:v>
      </x:c>
      <x:c r="Q1199" t="str">
        <x:v>United States</x:v>
      </x:c>
      <x:c r="R1199" t="str">
        <x:v>English</x:v>
      </x:c>
      <x:c r="S1199" t="str">
        <x:v>U</x:v>
      </x:c>
      <x:c r="T1199" t="n">
        <x:v>2900000</x:v>
      </x:c>
      <x:c r="U1199" t="n">
        <x:v>25600000</x:v>
      </x:c>
      <x:c r="V1199" t="n">
        <x:v>5</x:v>
      </x:c>
      <x:c r="W1199" t="n">
        <x:v>2</x:v>
      </x:c>
    </x:row>
    <x:row r="1200">
      <x:c r="J1200" t="n">
        <x:v>1675</x:v>
      </x:c>
      <x:c r="K1200" t="str">
        <x:v>The NeverEnding Story</x:v>
      </x:c>
      <x:c r="L1200" t="n">
        <x:v>30778</x:v>
      </x:c>
      <x:c r="M1200" t="n">
        <x:v>93</x:v>
      </x:c>
      <x:c r="N1200" t="str">
        <x:v>Fantasy</x:v>
      </x:c>
      <x:c r="O1200" t="str">
        <x:v>Wolfgang Peterson</x:v>
      </x:c>
      <x:c r="P1200" t="str">
        <x:v>Bavaria Film</x:v>
      </x:c>
      <x:c r="Q1200" t="str">
        <x:v>Germany</x:v>
      </x:c>
      <x:c r="R1200" t="str">
        <x:v>English</x:v>
      </x:c>
      <x:c r="S1200" t="str">
        <x:v>U</x:v>
      </x:c>
      <x:c r="T1200" t="n">
        <x:v>27000000</x:v>
      </x:c>
      <x:c r="U1200" t="n">
        <x:v>100000000</x:v>
      </x:c>
      <x:c r="V1200" t="n">
        <x:v>0</x:v>
      </x:c>
      <x:c r="W1200" t="n">
        <x:v>0</x:v>
      </x:c>
    </x:row>
    <x:row r="1201">
      <x:c r="J1201" t="n">
        <x:v>1676</x:v>
      </x:c>
      <x:c r="K1201" t="str">
        <x:v>Enemy Mine</x:v>
      </x:c>
      <x:c r="L1201" t="n">
        <x:v>31401</x:v>
      </x:c>
      <x:c r="M1201" t="n">
        <x:v>108</x:v>
      </x:c>
      <x:c r="N1201" t="str">
        <x:v>Science Fiction</x:v>
      </x:c>
      <x:c r="O1201" t="str">
        <x:v>Wolfgang Peterson</x:v>
      </x:c>
      <x:c r="P1201" t="str">
        <x:v>Kings Road Entertainment</x:v>
      </x:c>
      <x:c r="Q1201" t="str">
        <x:v>United States</x:v>
      </x:c>
      <x:c r="R1201" t="str">
        <x:v>English</x:v>
      </x:c>
      <x:c r="S1201" t="n">
        <x:v>15</x:v>
      </x:c>
      <x:c r="T1201" t="n">
        <x:v>29000000</x:v>
      </x:c>
      <x:c r="U1201" t="n">
        <x:v>12300000</x:v>
      </x:c>
      <x:c r="V1201" t="n">
        <x:v>0</x:v>
      </x:c>
      <x:c r="W1201" t="n">
        <x:v>0</x:v>
      </x:c>
    </x:row>
    <x:row r="1202">
      <x:c r="J1202" t="n">
        <x:v>1677</x:v>
      </x:c>
      <x:c r="K1202" t="str">
        <x:v>In the Line of Fire</x:v>
      </x:c>
      <x:c r="L1202" t="n">
        <x:v>34159</x:v>
      </x:c>
      <x:c r="M1202" t="n">
        <x:v>128</x:v>
      </x:c>
      <x:c r="N1202" t="str">
        <x:v>Thriller</x:v>
      </x:c>
      <x:c r="O1202" t="str">
        <x:v>Wolfgang Peterson</x:v>
      </x:c>
      <x:c r="P1202" t="str">
        <x:v>Castle Rock Entertainment</x:v>
      </x:c>
      <x:c r="Q1202" t="str">
        <x:v>United States</x:v>
      </x:c>
      <x:c r="R1202" t="str">
        <x:v>English</x:v>
      </x:c>
      <x:c r="S1202" t="n">
        <x:v>15</x:v>
      </x:c>
      <x:c r="T1202" t="n">
        <x:v>40000000</x:v>
      </x:c>
      <x:c r="U1202" t="n">
        <x:v>177000000</x:v>
      </x:c>
      <x:c r="V1202" t="n">
        <x:v>3</x:v>
      </x:c>
      <x:c r="W1202" t="n">
        <x:v>0</x:v>
      </x:c>
    </x:row>
    <x:row r="1203">
      <x:c r="J1203" t="n">
        <x:v>1678</x:v>
      </x:c>
      <x:c r="K1203" t="str">
        <x:v>Outbreak</x:v>
      </x:c>
      <x:c r="L1203" t="n">
        <x:v>34768</x:v>
      </x:c>
      <x:c r="M1203" t="n">
        <x:v>128</x:v>
      </x:c>
      <x:c r="N1203" t="str">
        <x:v>Thriller</x:v>
      </x:c>
      <x:c r="O1203" t="str">
        <x:v>Wolfgang Peterson</x:v>
      </x:c>
      <x:c r="P1203" t="str">
        <x:v>Warner Bros. Pictures</x:v>
      </x:c>
      <x:c r="Q1203" t="str">
        <x:v>United States</x:v>
      </x:c>
      <x:c r="R1203" t="str">
        <x:v>English</x:v>
      </x:c>
      <x:c r="S1203" t="n">
        <x:v>15</x:v>
      </x:c>
      <x:c r="T1203" t="n">
        <x:v>50000000</x:v>
      </x:c>
      <x:c r="U1203" t="n">
        <x:v>189800000</x:v>
      </x:c>
      <x:c r="V1203" t="n">
        <x:v>0</x:v>
      </x:c>
      <x:c r="W1203" t="n">
        <x:v>0</x:v>
      </x:c>
    </x:row>
  </x:sheetData>
  <x:mergeCells>
    <x:mergeCell ref="A1:H1"/>
  </x:mergeCells>
  <x:dataValidations count="1">
    <x:dataValidation type="list" sqref="B3">
      <x:formula1>"Action,Adventure,Animation,Awful,Biography,Comedy,Crime,Disaster,Documentary,Drama,Family,Fantasy,History,Horror,Martial Arts,Musical,Mystery,Romance,Romantic Comedy,Science Fiction,Sport,Thriller,War,Western"</x:formula1>
    </x:dataValidation>
  </x:dataValidations>
  <x:pageMargins left="0.7" right="0.7" top="0.75" bottom="0.75" header="0.3" footer="0.3"/>
  <x:drawing xmlns:r="http://schemas.openxmlformats.org/officeDocument/2006/relationships" r:id="R2ab5b66b46a0486d"/>
  <x:tableParts count="1">
    <x:tablePart xmlns:r="http://schemas.openxmlformats.org/officeDocument/2006/relationships" r:id="R8aab34cb38274b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9.630001068115234" hidden="0" customWidth="1"/>
    <x:col min="2" max="2" width="12.25" hidden="0" customWidth="1"/>
    <x:col min="3" max="3" width="9.5" hidden="0" customWidth="1"/>
    <x:col min="4" max="4" width="10.880000114440918" hidden="0" customWidth="1"/>
    <x:col min="5" max="5" width="11.380000114440918" hidden="0" customWidth="1"/>
    <x:col min="6" max="6" width="16.25" hidden="0" customWidth="1"/>
    <x:col min="7" max="7" width="12" hidden="0" customWidth="1"/>
    <x:col min="8" max="8" width="15" hidden="0" customWidth="1"/>
    <x:col min="9" max="9" width="10.380000114440918" hidden="0" customWidth="1"/>
    <x:col min="10" max="10" width="12.25" hidden="0" customWidth="1"/>
    <x:col min="11" max="11" width="10.380000114440918" hidden="0" customWidth="1"/>
    <x:col min="12" max="12" width="12.380000114440918" hidden="0" customWidth="1"/>
    <x:col min="13" max="13" width="14.630000114440918" hidden="0" customWidth="1"/>
    <x:col min="14" max="14" width="16.6299991607666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5" t="str">
        <x:v>Exercise 4 — House Search Analysis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PostCode</x:v>
      </x:c>
      <x:c r="B3" s="13" t="str">
        <x:v>Type</x:v>
      </x:c>
      <x:c r="C3" s="13" t="str">
        <x:v>Location</x:v>
      </x:c>
      <x:c r="D3" s="13" t="str">
        <x:v>Bedrooms</x:v>
      </x:c>
      <x:c r="E3" s="13" t="str">
        <x:v>Bathrooms</x:v>
      </x:c>
      <x:c r="F3" s="13" t="str">
        <x:v>Reception Rooms</x:v>
      </x:c>
      <x:c r="G3" s="13" t="str">
        <x:v>Garden Size</x:v>
      </x:c>
      <x:c r="H3" s="13" t="str">
        <x:v>Date on Market</x:v>
      </x:c>
      <x:c r="I3" s="13" t="str">
        <x:v>Date Sold</x:v>
      </x:c>
      <x:c r="J3" s="13" t="str">
        <x:v>Asking Price</x:v>
      </x:c>
      <x:c r="K3" s="13" t="str">
        <x:v>Sale Price</x:v>
      </x:c>
      <x:c r="L3" s="13" t="str">
        <x:v>Total Rooms</x:v>
      </x:c>
      <x:c r="M3" s="13" t="str">
        <x:v>Location Group</x:v>
      </x:c>
      <x:c r="N3" s="13" t="str">
        <x:v>Garden Size Clean</x:v>
      </x:c>
      <x:c r="P3" s="13" t="str">
        <x:v>Garden Size</x:v>
      </x:c>
      <x:c r="Q3" s="13" t="str">
        <x:v>Urban %</x:v>
      </x:c>
      <x:c r="R3" s="13" t="str">
        <x:v>Non-Urban %</x:v>
      </x:c>
    </x:row>
    <x:row r="4">
      <x:c r="A4" t="str">
        <x:v>SK13 7AZ</x:v>
      </x:c>
      <x:c r="B4" t="str">
        <x:v>Detatched</x:v>
      </x:c>
      <x:c r="C4" t="str">
        <x:v>Town</x:v>
      </x:c>
      <x:c r="D4" t="n">
        <x:v>4</x:v>
      </x:c>
      <x:c r="E4" t="n">
        <x:v>2</x:v>
      </x:c>
      <x:c r="F4" t="n">
        <x:v>3</x:v>
      </x:c>
      <x:c r="G4" t="str">
        <x:v>Medium</x:v>
      </x:c>
      <x:c r="H4" t="n">
        <x:v>44525</x:v>
      </x:c>
      <x:c r="I4"/>
      <x:c r="J4" t="n">
        <x:v>345000</x:v>
      </x:c>
      <x:c r="K4"/>
      <x:c r="L4" t="n">
        <x:f>D4+E4+F4</x:f>
        <x:v>9</x:v>
      </x:c>
      <x:c r="M4" t="str">
        <x:f>IF(OR(C4="Town",C4="Village"),"Urban","Non-Urban")</x:f>
        <x:v>Urban</x:v>
      </x:c>
      <x:c r="N4" t="str">
        <x:f>PROPER(G4)</x:f>
        <x:v>Medium</x:v>
      </x:c>
      <x:c r="P4" t="str">
        <x:v>None</x:v>
      </x:c>
      <x:c r="Q4" s="34" t="n">
        <x:f>COUNTIFS($N$4:$N$59,P4,$M$4:$M$59,"Urban")/COUNTIF($M$4:$M$59,"Urban")</x:f>
        <x:v>0.07692307692307693</x:v>
      </x:c>
      <x:c r="R4" s="34" t="n">
        <x:f>COUNTIFS($N$4:$N$59,P4,$M$4:$M$59,"Non-Urban")/COUNTIF($M$4:$M$59,"Non-Urban")</x:f>
        <x:v>0</x:v>
      </x:c>
    </x:row>
    <x:row r="5">
      <x:c r="A5" t="str">
        <x:v>SK22 9GT</x:v>
      </x:c>
      <x:c r="B5" t="str">
        <x:v>Semi-detatched</x:v>
      </x:c>
      <x:c r="C5" t="str">
        <x:v>Village</x:v>
      </x:c>
      <x:c r="D5" t="n">
        <x:v>3</x:v>
      </x:c>
      <x:c r="E5" t="n">
        <x:v>1</x:v>
      </x:c>
      <x:c r="F5" t="n">
        <x:v>2</x:v>
      </x:c>
      <x:c r="G5" t="str">
        <x:v>Small</x:v>
      </x:c>
      <x:c r="H5" t="n">
        <x:v>44394</x:v>
      </x:c>
      <x:c r="I5" t="n">
        <x:v>44592</x:v>
      </x:c>
      <x:c r="J5" t="n">
        <x:v>245000</x:v>
      </x:c>
      <x:c r="K5" t="n">
        <x:v>238500</x:v>
      </x:c>
      <x:c r="L5" t="n">
        <x:f>D5+E5+F5</x:f>
        <x:v>6</x:v>
      </x:c>
      <x:c r="M5" t="str">
        <x:f>IF(OR(C5="Town",C5="Village"),"Urban","Non-Urban")</x:f>
        <x:v>Urban</x:v>
      </x:c>
      <x:c r="N5" t="str">
        <x:f>PROPER(G5)</x:f>
        <x:v>Small</x:v>
      </x:c>
      <x:c r="P5" t="str">
        <x:v>Small</x:v>
      </x:c>
      <x:c r="Q5" s="34" t="n">
        <x:f>COUNTIFS($N$4:$N$59,P5,$M$4:$M$59,"Urban")/COUNTIF($M$4:$M$59,"Urban")</x:f>
        <x:v>0.34615384615384615</x:v>
      </x:c>
      <x:c r="R5" s="34" t="n">
        <x:f>COUNTIFS($N$4:$N$59,P5,$M$4:$M$59,"Non-Urban")/COUNTIF($M$4:$M$59,"Non-Urban")</x:f>
        <x:v>0.16666666666666666</x:v>
      </x:c>
    </x:row>
    <x:row r="6">
      <x:c r="A6" t="str">
        <x:v>SK13 6DD</x:v>
      </x:c>
      <x:c r="B6" t="str">
        <x:v>Terraced</x:v>
      </x:c>
      <x:c r="C6" t="str">
        <x:v>Countryside</x:v>
      </x:c>
      <x:c r="D6" t="n">
        <x:v>2</x:v>
      </x:c>
      <x:c r="E6" t="n">
        <x:v>1</x:v>
      </x:c>
      <x:c r="F6" t="n">
        <x:v>2</x:v>
      </x:c>
      <x:c r="G6" t="str">
        <x:v>Small</x:v>
      </x:c>
      <x:c r="H6" t="n">
        <x:v>44492</x:v>
      </x:c>
      <x:c r="I6" t="n">
        <x:v>44548</x:v>
      </x:c>
      <x:c r="J6" t="n">
        <x:v>199000</x:v>
      </x:c>
      <x:c r="K6" t="n">
        <x:v>199000</x:v>
      </x:c>
      <x:c r="L6" t="n">
        <x:f>D6+E6+F6</x:f>
        <x:v>5</x:v>
      </x:c>
      <x:c r="M6" t="str">
        <x:f>IF(OR(C6="Town",C6="Village"),"Urban","Non-Urban")</x:f>
        <x:v>Non-Urban</x:v>
      </x:c>
      <x:c r="N6" t="str">
        <x:f>PROPER(G6)</x:f>
        <x:v>Small</x:v>
      </x:c>
      <x:c r="P6" t="str">
        <x:v>Medium</x:v>
      </x:c>
      <x:c r="Q6" s="34" t="n">
        <x:f>COUNTIFS($N$4:$N$59,P6,$M$4:$M$59,"Urban")/COUNTIF($M$4:$M$59,"Urban")</x:f>
        <x:v>0.46153846153846156</x:v>
      </x:c>
      <x:c r="R6" s="34" t="n">
        <x:f>COUNTIFS($N$4:$N$59,P6,$M$4:$M$59,"Non-Urban")/COUNTIF($M$4:$M$59,"Non-Urban")</x:f>
        <x:v>0.3333333333333333</x:v>
      </x:c>
    </x:row>
    <x:row r="7">
      <x:c r="A7" t="str">
        <x:v>SK14 8DS</x:v>
      </x:c>
      <x:c r="B7" t="str">
        <x:v>Detatched</x:v>
      </x:c>
      <x:c r="C7" t="str">
        <x:v>Town</x:v>
      </x:c>
      <x:c r="D7" t="n">
        <x:v>4</x:v>
      </x:c>
      <x:c r="E7" t="n">
        <x:v>2</x:v>
      </x:c>
      <x:c r="F7" t="n">
        <x:v>2</x:v>
      </x:c>
      <x:c r="G7" t="str">
        <x:v>Large</x:v>
      </x:c>
      <x:c r="H7" t="n">
        <x:v>44851</x:v>
      </x:c>
      <x:c r="I7" t="n">
        <x:v>44583</x:v>
      </x:c>
      <x:c r="J7" t="n">
        <x:v>398000</x:v>
      </x:c>
      <x:c r="K7" t="n">
        <x:v>387500</x:v>
      </x:c>
      <x:c r="L7" t="n">
        <x:f>D7+E7+F7</x:f>
        <x:v>8</x:v>
      </x:c>
      <x:c r="M7" t="str">
        <x:f>IF(OR(C7="Town",C7="Village"),"Urban","Non-Urban")</x:f>
        <x:v>Urban</x:v>
      </x:c>
      <x:c r="N7" t="str">
        <x:f>PROPER(G7)</x:f>
        <x:v>Large</x:v>
      </x:c>
      <x:c r="P7" t="str">
        <x:v>Large</x:v>
      </x:c>
      <x:c r="Q7" s="34" t="n">
        <x:f>COUNTIFS($N$4:$N$59,P7,$M$4:$M$59,"Urban")/COUNTIF($M$4:$M$59,"Urban")</x:f>
        <x:v>0.11538461538461539</x:v>
      </x:c>
      <x:c r="R7" s="34" t="n">
        <x:f>COUNTIFS($N$4:$N$59,P7,$M$4:$M$59,"Non-Urban")/COUNTIF($M$4:$M$59,"Non-Urban")</x:f>
        <x:v>0.5</x:v>
      </x:c>
    </x:row>
    <x:row r="8">
      <x:c r="A8" t="str">
        <x:v>SK13 7CW</x:v>
      </x:c>
      <x:c r="B8" t="str">
        <x:v>Semi-detatched</x:v>
      </x:c>
      <x:c r="C8" t="str">
        <x:v>Town</x:v>
      </x:c>
      <x:c r="D8" t="n">
        <x:v>3</x:v>
      </x:c>
      <x:c r="E8" t="n">
        <x:v>1</x:v>
      </x:c>
      <x:c r="F8" t="n">
        <x:v>2</x:v>
      </x:c>
      <x:c r="G8" t="str">
        <x:v>Medium</x:v>
      </x:c>
      <x:c r="H8" t="n">
        <x:v>44528</x:v>
      </x:c>
      <x:c r="I8" t="n">
        <x:v>44913</x:v>
      </x:c>
      <x:c r="J8" t="n">
        <x:v>329000</x:v>
      </x:c>
      <x:c r="K8" t="n">
        <x:v>319500</x:v>
      </x:c>
      <x:c r="L8" t="n">
        <x:f>D8+E8+F8</x:f>
        <x:v>6</x:v>
      </x:c>
      <x:c r="M8" t="str">
        <x:f>IF(OR(C8="Town",C8="Village"),"Urban","Non-Urban")</x:f>
        <x:v>Urban</x:v>
      </x:c>
      <x:c r="N8" t="str">
        <x:f>PROPER(G8)</x:f>
        <x:v>Medium</x:v>
      </x:c>
    </x:row>
    <x:row r="9">
      <x:c r="A9" t="str">
        <x:v>SK22 3YT</x:v>
      </x:c>
      <x:c r="B9" t="str">
        <x:v>Detatched</x:v>
      </x:c>
      <x:c r="C9" t="str">
        <x:v>Remote</x:v>
      </x:c>
      <x:c r="D9" t="n">
        <x:v>4</x:v>
      </x:c>
      <x:c r="E9" t="n">
        <x:v>2</x:v>
      </x:c>
      <x:c r="F9" t="n">
        <x:v>3</x:v>
      </x:c>
      <x:c r="G9" t="str">
        <x:v>Large</x:v>
      </x:c>
      <x:c r="H9" t="n">
        <x:v>44481</x:v>
      </x:c>
      <x:c r="I9"/>
      <x:c r="J9" t="n">
        <x:v>478500</x:v>
      </x:c>
      <x:c r="K9"/>
      <x:c r="L9" t="n">
        <x:f>D9+E9+F9</x:f>
        <x:v>9</x:v>
      </x:c>
      <x:c r="M9" t="str">
        <x:f>IF(OR(C9="Town",C9="Village"),"Urban","Non-Urban")</x:f>
        <x:v>Non-Urban</x:v>
      </x:c>
      <x:c r="N9" t="str">
        <x:f>PROPER(G9)</x:f>
        <x:v>Large</x:v>
      </x:c>
      <x:c r="P9" s="13" t="str">
        <x:v>Calculated Field</x:v>
      </x:c>
      <x:c r="Q9" s="36" t="str">
        <x:v>Definition</x:v>
      </x:c>
      <x:c r="R9" s="36" t="str">
        <x:v>Purpose</x:v>
      </x:c>
    </x:row>
    <x:row r="10">
      <x:c r="A10" t="str">
        <x:v>SK13 4DF</x:v>
      </x:c>
      <x:c r="B10" t="str">
        <x:v>Terraced</x:v>
      </x:c>
      <x:c r="C10" t="str">
        <x:v>Town</x:v>
      </x:c>
      <x:c r="D10" t="n">
        <x:v>2</x:v>
      </x:c>
      <x:c r="E10" t="n">
        <x:v>1</x:v>
      </x:c>
      <x:c r="F10" t="n">
        <x:v>2</x:v>
      </x:c>
      <x:c r="G10" t="str">
        <x:v>Small</x:v>
      </x:c>
      <x:c r="H10" t="n">
        <x:v>44443</x:v>
      </x:c>
      <x:c r="I10" t="n">
        <x:v>44211</x:v>
      </x:c>
      <x:c r="J10" t="n">
        <x:v>213000</x:v>
      </x:c>
      <x:c r="K10" t="n">
        <x:v>199500</x:v>
      </x:c>
      <x:c r="L10" t="n">
        <x:f>D10+E10+F10</x:f>
        <x:v>5</x:v>
      </x:c>
      <x:c r="M10" t="str">
        <x:f>IF(OR(C10="Town",C10="Village"),"Urban","Non-Urban")</x:f>
        <x:v>Urban</x:v>
      </x:c>
      <x:c r="N10" t="str">
        <x:f>PROPER(G10)</x:f>
        <x:v>Small</x:v>
      </x:c>
      <x:c r="P10" s="29" t="str">
        <x:v>Total Rooms</x:v>
      </x:c>
      <x:c r="Q10" s="26" t="str">
        <x:v>Bedrooms + Bathrooms + Reception Rooms</x:v>
      </x:c>
      <x:c r="R10" s="26" t="str">
        <x:v>Combined room count</x:v>
      </x:c>
    </x:row>
    <x:row r="11">
      <x:c r="A11" t="str">
        <x:v>SK14 7AD</x:v>
      </x:c>
      <x:c r="B11" t="str">
        <x:v>Semi-detatched</x:v>
      </x:c>
      <x:c r="C11" t="str">
        <x:v>Town</x:v>
      </x:c>
      <x:c r="D11" t="n">
        <x:v>3</x:v>
      </x:c>
      <x:c r="E11" t="n">
        <x:v>2</x:v>
      </x:c>
      <x:c r="F11" t="n">
        <x:v>2</x:v>
      </x:c>
      <x:c r="G11" t="str">
        <x:v>Medium</x:v>
      </x:c>
      <x:c r="H11" t="n">
        <x:v>44497</x:v>
      </x:c>
      <x:c r="I11" t="n">
        <x:v>44609</x:v>
      </x:c>
      <x:c r="J11" t="n">
        <x:v>278500</x:v>
      </x:c>
      <x:c r="K11" t="n">
        <x:v>277000</x:v>
      </x:c>
      <x:c r="L11" t="n">
        <x:f>D11+E11+F11</x:f>
        <x:v>7</x:v>
      </x:c>
      <x:c r="M11" t="str">
        <x:f>IF(OR(C11="Town",C11="Village"),"Urban","Non-Urban")</x:f>
        <x:v>Urban</x:v>
      </x:c>
      <x:c r="N11" t="str">
        <x:f>PROPER(G11)</x:f>
        <x:v>Medium</x:v>
      </x:c>
      <x:c r="P11" s="29" t="str">
        <x:v>Urban</x:v>
      </x:c>
      <x:c r="Q11" s="26" t="str">
        <x:v>Town or Village</x:v>
      </x:c>
      <x:c r="R11" s="26" t="str">
        <x:v>Grouped location</x:v>
      </x:c>
    </x:row>
    <x:row r="12">
      <x:c r="A12" t="str">
        <x:v>SK13 2AA</x:v>
      </x:c>
      <x:c r="B12" t="str">
        <x:v>Semi-detatched</x:v>
      </x:c>
      <x:c r="C12" t="str">
        <x:v>Village</x:v>
      </x:c>
      <x:c r="D12" t="n">
        <x:v>3</x:v>
      </x:c>
      <x:c r="E12" t="n">
        <x:v>1</x:v>
      </x:c>
      <x:c r="F12" t="n">
        <x:v>2</x:v>
      </x:c>
      <x:c r="G12" t="str">
        <x:v>Large</x:v>
      </x:c>
      <x:c r="H12" t="n">
        <x:v>44418</x:v>
      </x:c>
      <x:c r="I12"/>
      <x:c r="J12" t="n">
        <x:v>278500</x:v>
      </x:c>
      <x:c r="K12"/>
      <x:c r="L12" t="n">
        <x:f>D12+E12+F12</x:f>
        <x:v>6</x:v>
      </x:c>
      <x:c r="M12" t="str">
        <x:f>IF(OR(C12="Town",C12="Village"),"Urban","Non-Urban")</x:f>
        <x:v>Urban</x:v>
      </x:c>
      <x:c r="N12" t="str">
        <x:f>PROPER(G12)</x:f>
        <x:v>Large</x:v>
      </x:c>
      <x:c r="P12" s="29" t="str">
        <x:v>Non-Urban</x:v>
      </x:c>
      <x:c r="Q12" s="26" t="str">
        <x:v>Countryside or Remote</x:v>
      </x:c>
      <x:c r="R12" s="26" t="str">
        <x:v>Grouped location</x:v>
      </x:c>
    </x:row>
    <x:row r="13">
      <x:c r="A13" t="str">
        <x:v>SK13 5YY</x:v>
      </x:c>
      <x:c r="B13" t="str">
        <x:v>Terraced</x:v>
      </x:c>
      <x:c r="C13" t="str">
        <x:v>Town</x:v>
      </x:c>
      <x:c r="D13" t="n">
        <x:v>3</x:v>
      </x:c>
      <x:c r="E13" t="n">
        <x:v>2</x:v>
      </x:c>
      <x:c r="F13" t="n">
        <x:v>1</x:v>
      </x:c>
      <x:c r="G13" t="str">
        <x:v>Small</x:v>
      </x:c>
      <x:c r="H13" t="n">
        <x:v>44498</x:v>
      </x:c>
      <x:c r="I13" t="n">
        <x:v>44589</x:v>
      </x:c>
      <x:c r="J13" t="n">
        <x:v>176500</x:v>
      </x:c>
      <x:c r="K13" t="n">
        <x:v>174300</x:v>
      </x:c>
      <x:c r="L13" t="n">
        <x:f>D13+E13+F13</x:f>
        <x:v>6</x:v>
      </x:c>
      <x:c r="M13" t="str">
        <x:f>IF(OR(C13="Town",C13="Village"),"Urban","Non-Urban")</x:f>
        <x:v>Urban</x:v>
      </x:c>
      <x:c r="N13" t="str">
        <x:f>PROPER(G13)</x:f>
        <x:v>Small</x:v>
      </x:c>
    </x:row>
    <x:row r="14">
      <x:c r="A14" t="str">
        <x:v>SK14 9FT</x:v>
      </x:c>
      <x:c r="B14" t="str">
        <x:v>Bungalow</x:v>
      </x:c>
      <x:c r="C14" t="str">
        <x:v>Countryside</x:v>
      </x:c>
      <x:c r="D14" t="n">
        <x:v>2</x:v>
      </x:c>
      <x:c r="E14" t="n">
        <x:v>2</x:v>
      </x:c>
      <x:c r="F14" t="n">
        <x:v>2</x:v>
      </x:c>
      <x:c r="G14" t="str">
        <x:v>Medium</x:v>
      </x:c>
      <x:c r="H14" t="n">
        <x:v>44515</x:v>
      </x:c>
      <x:c r="I14" t="n">
        <x:v>44573</x:v>
      </x:c>
      <x:c r="J14" t="n">
        <x:v>223750</x:v>
      </x:c>
      <x:c r="K14" t="n">
        <x:v>219750</x:v>
      </x:c>
      <x:c r="L14" t="n">
        <x:f>D14+E14+F14</x:f>
        <x:v>6</x:v>
      </x:c>
      <x:c r="M14" t="str">
        <x:f>IF(OR(C14="Town",C14="Village"),"Urban","Non-Urban")</x:f>
        <x:v>Non-Urban</x:v>
      </x:c>
      <x:c r="N14" t="str">
        <x:f>PROPER(G14)</x:f>
        <x:v>Medium</x:v>
      </x:c>
    </x:row>
    <x:row r="15">
      <x:c r="A15" t="str">
        <x:v>SK23 4RF</x:v>
      </x:c>
      <x:c r="B15" t="str">
        <x:v>Flat</x:v>
      </x:c>
      <x:c r="C15" t="str">
        <x:v>Town</x:v>
      </x:c>
      <x:c r="D15" t="n">
        <x:v>1</x:v>
      </x:c>
      <x:c r="E15" t="n">
        <x:v>1</x:v>
      </x:c>
      <x:c r="F15" t="n">
        <x:v>1</x:v>
      </x:c>
      <x:c r="G15" t="str">
        <x:v>None</x:v>
      </x:c>
      <x:c r="H15" t="n">
        <x:v>44514</x:v>
      </x:c>
      <x:c r="I15"/>
      <x:c r="J15" t="n">
        <x:v>135000</x:v>
      </x:c>
      <x:c r="K15"/>
      <x:c r="L15" t="n">
        <x:f>D15+E15+F15</x:f>
        <x:v>3</x:v>
      </x:c>
      <x:c r="M15" t="str">
        <x:f>IF(OR(C15="Town",C15="Village"),"Urban","Non-Urban")</x:f>
        <x:v>Urban</x:v>
      </x:c>
      <x:c r="N15" t="str">
        <x:f>PROPER(G15)</x:f>
        <x:v>None</x:v>
      </x:c>
    </x:row>
    <x:row r="16">
      <x:c r="A16" t="str">
        <x:v>SK13 1GG</x:v>
      </x:c>
      <x:c r="B16" t="str">
        <x:v>Terraced</x:v>
      </x:c>
      <x:c r="C16" t="str">
        <x:v>Town</x:v>
      </x:c>
      <x:c r="D16" t="n">
        <x:v>3</x:v>
      </x:c>
      <x:c r="E16" t="n">
        <x:v>1</x:v>
      </x:c>
      <x:c r="F16" t="n">
        <x:v>2</x:v>
      </x:c>
      <x:c r="G16" t="str">
        <x:v>Small</x:v>
      </x:c>
      <x:c r="H16" t="n">
        <x:v>44565</x:v>
      </x:c>
      <x:c r="I16" t="n">
        <x:v>44579</x:v>
      </x:c>
      <x:c r="J16" t="n">
        <x:v>165900</x:v>
      </x:c>
      <x:c r="K16" t="n">
        <x:v>168000</x:v>
      </x:c>
      <x:c r="L16" t="n">
        <x:f>D16+E16+F16</x:f>
        <x:v>6</x:v>
      </x:c>
      <x:c r="M16" t="str">
        <x:f>IF(OR(C16="Town",C16="Village"),"Urban","Non-Urban")</x:f>
        <x:v>Urban</x:v>
      </x:c>
      <x:c r="N16" t="str">
        <x:f>PROPER(G16)</x:f>
        <x:v>Small</x:v>
      </x:c>
    </x:row>
    <x:row r="17">
      <x:c r="A17" t="str">
        <x:v>SK13 6YH</x:v>
      </x:c>
      <x:c r="B17" t="str">
        <x:v>Bungalow</x:v>
      </x:c>
      <x:c r="C17" t="str">
        <x:v>Countryside</x:v>
      </x:c>
      <x:c r="D17" t="n">
        <x:v>3</x:v>
      </x:c>
      <x:c r="E17" t="n">
        <x:v>2</x:v>
      </x:c>
      <x:c r="F17" t="n">
        <x:v>2</x:v>
      </x:c>
      <x:c r="G17" t="str">
        <x:v>Large</x:v>
      </x:c>
      <x:c r="H17" t="n">
        <x:v>44453</x:v>
      </x:c>
      <x:c r="I17" t="n">
        <x:v>44557</x:v>
      </x:c>
      <x:c r="J17" t="n">
        <x:v>415500</x:v>
      </x:c>
      <x:c r="K17" t="n">
        <x:v>419500</x:v>
      </x:c>
      <x:c r="L17" t="n">
        <x:f>D17+E17+F17</x:f>
        <x:v>7</x:v>
      </x:c>
      <x:c r="M17" t="str">
        <x:f>IF(OR(C17="Town",C17="Village"),"Urban","Non-Urban")</x:f>
        <x:v>Non-Urban</x:v>
      </x:c>
      <x:c r="N17" t="str">
        <x:f>PROPER(G17)</x:f>
        <x:v>Large</x:v>
      </x:c>
    </x:row>
    <x:row r="18">
      <x:c r="A18" t="str">
        <x:v>SK13 6YH</x:v>
      </x:c>
      <x:c r="B18" t="str">
        <x:v>Bungalow</x:v>
      </x:c>
      <x:c r="C18" t="str">
        <x:v>Countryside</x:v>
      </x:c>
      <x:c r="D18" t="n">
        <x:v>3</x:v>
      </x:c>
      <x:c r="E18" t="n">
        <x:v>2</x:v>
      </x:c>
      <x:c r="F18" t="n">
        <x:v>2</x:v>
      </x:c>
      <x:c r="G18" t="str">
        <x:v>Large</x:v>
      </x:c>
      <x:c r="H18" t="n">
        <x:v>44453</x:v>
      </x:c>
      <x:c r="I18" t="n">
        <x:v>44557</x:v>
      </x:c>
      <x:c r="J18" t="n">
        <x:v>415500</x:v>
      </x:c>
      <x:c r="K18" t="n">
        <x:v>419500</x:v>
      </x:c>
      <x:c r="L18" t="n">
        <x:f>D18+E18+F18</x:f>
        <x:v>7</x:v>
      </x:c>
      <x:c r="M18" t="str">
        <x:f>IF(OR(C18="Town",C18="Village"),"Urban","Non-Urban")</x:f>
        <x:v>Non-Urban</x:v>
      </x:c>
      <x:c r="N18" t="str">
        <x:f>PROPER(G18)</x:f>
        <x:v>Large</x:v>
      </x:c>
    </x:row>
    <x:row r="19">
      <x:c r="A19" t="str">
        <x:v>SK13 6YH</x:v>
      </x:c>
      <x:c r="B19" t="str">
        <x:v>Bungalow</x:v>
      </x:c>
      <x:c r="C19" t="str">
        <x:v>Countryside</x:v>
      </x:c>
      <x:c r="D19" t="n">
        <x:v>3</x:v>
      </x:c>
      <x:c r="E19" t="n">
        <x:v>2</x:v>
      </x:c>
      <x:c r="F19" t="n">
        <x:v>2</x:v>
      </x:c>
      <x:c r="G19" t="str">
        <x:v>Large</x:v>
      </x:c>
      <x:c r="H19" t="n">
        <x:v>44453</x:v>
      </x:c>
      <x:c r="I19" t="n">
        <x:v>44557</x:v>
      </x:c>
      <x:c r="J19" t="n">
        <x:v>415500</x:v>
      </x:c>
      <x:c r="K19" t="n">
        <x:v>419500</x:v>
      </x:c>
      <x:c r="L19" t="n">
        <x:f>D19+E19+F19</x:f>
        <x:v>7</x:v>
      </x:c>
      <x:c r="M19" t="str">
        <x:f>IF(OR(C19="Town",C19="Village"),"Urban","Non-Urban")</x:f>
        <x:v>Non-Urban</x:v>
      </x:c>
      <x:c r="N19" t="str">
        <x:f>PROPER(G19)</x:f>
        <x:v>Large</x:v>
      </x:c>
    </x:row>
    <x:row r="20">
      <x:c r="A20" t="str">
        <x:v>SK13 6YH</x:v>
      </x:c>
      <x:c r="B20" t="str">
        <x:v>Bungalow</x:v>
      </x:c>
      <x:c r="C20" t="str">
        <x:v>Town</x:v>
      </x:c>
      <x:c r="D20" t="n">
        <x:v>2</x:v>
      </x:c>
      <x:c r="E20" t="n">
        <x:v>2</x:v>
      </x:c>
      <x:c r="F20" t="n">
        <x:v>2</x:v>
      </x:c>
      <x:c r="G20" t="str">
        <x:v>Medium</x:v>
      </x:c>
      <x:c r="H20" t="n">
        <x:v>44449</x:v>
      </x:c>
      <x:c r="I20" t="n">
        <x:v>1460</x:v>
      </x:c>
      <x:c r="J20" t="n">
        <x:v>199500</x:v>
      </x:c>
      <x:c r="K20"/>
      <x:c r="L20" t="n">
        <x:f>D20+E20+F20</x:f>
        <x:v>6</x:v>
      </x:c>
      <x:c r="M20" t="str">
        <x:f>IF(OR(C20="Town",C20="Village"),"Urban","Non-Urban")</x:f>
        <x:v>Urban</x:v>
      </x:c>
      <x:c r="N20" t="str">
        <x:f>PROPER(G20)</x:f>
        <x:v>Medium</x:v>
      </x:c>
    </x:row>
    <x:row r="21">
      <x:c r="A21" t="str">
        <x:v>SK22 8BN</x:v>
      </x:c>
      <x:c r="B21" t="str">
        <x:v>Flat</x:v>
      </x:c>
      <x:c r="C21" t="str">
        <x:v>Town</x:v>
      </x:c>
      <x:c r="D21" t="n">
        <x:v>2</x:v>
      </x:c>
      <x:c r="E21" t="n">
        <x:v>1</x:v>
      </x:c>
      <x:c r="F21" t="n">
        <x:v>1</x:v>
      </x:c>
      <x:c r="G21" t="str">
        <x:v>None</x:v>
      </x:c>
      <x:c r="H21" t="n">
        <x:v>44471</x:v>
      </x:c>
      <x:c r="I21" t="n">
        <x:v>44579</x:v>
      </x:c>
      <x:c r="J21" t="n">
        <x:v>175500</x:v>
      </x:c>
      <x:c r="K21" t="n">
        <x:v>169500</x:v>
      </x:c>
      <x:c r="L21" t="n">
        <x:f>D21+E21+F21</x:f>
        <x:v>4</x:v>
      </x:c>
      <x:c r="M21" t="str">
        <x:f>IF(OR(C21="Town",C21="Village"),"Urban","Non-Urban")</x:f>
        <x:v>Urban</x:v>
      </x:c>
      <x:c r="N21" t="str">
        <x:f>PROPER(G21)</x:f>
        <x:v>None</x:v>
      </x:c>
    </x:row>
    <x:row r="22">
      <x:c r="A22" t="str">
        <x:v>SK14 7JJ</x:v>
      </x:c>
      <x:c r="B22" t="str">
        <x:v>Semi-detatched</x:v>
      </x:c>
      <x:c r="C22" t="str">
        <x:v>Countryside</x:v>
      </x:c>
      <x:c r="D22" t="n">
        <x:v>3</x:v>
      </x:c>
      <x:c r="E22" t="n">
        <x:v>2</x:v>
      </x:c>
      <x:c r="F22" t="n">
        <x:v>2</x:v>
      </x:c>
      <x:c r="G22" t="str">
        <x:v>Medium</x:v>
      </x:c>
      <x:c r="H22" t="n">
        <x:v>44550</x:v>
      </x:c>
      <x:c r="I22" t="n">
        <x:v>44606</x:v>
      </x:c>
      <x:c r="J22" t="n">
        <x:v>319750</x:v>
      </x:c>
      <x:c r="K22" t="n">
        <x:v>315750</x:v>
      </x:c>
      <x:c r="L22" t="n">
        <x:f>D22+E22+F22</x:f>
        <x:v>7</x:v>
      </x:c>
      <x:c r="M22" t="str">
        <x:f>IF(OR(C22="Town",C22="Village"),"Urban","Non-Urban")</x:f>
        <x:v>Non-Urban</x:v>
      </x:c>
      <x:c r="N22" t="str">
        <x:f>PROPER(G22)</x:f>
        <x:v>Medium</x:v>
      </x:c>
    </x:row>
    <x:row r="23">
      <x:c r="A23" t="str">
        <x:v>SK22 3LP</x:v>
      </x:c>
      <x:c r="B23" t="str">
        <x:v>Bungalow</x:v>
      </x:c>
      <x:c r="C23" t="str">
        <x:v>Remote</x:v>
      </x:c>
      <x:c r="D23" t="n">
        <x:v>3</x:v>
      </x:c>
      <x:c r="E23" t="n">
        <x:v>2</x:v>
      </x:c>
      <x:c r="F23" t="n">
        <x:v>2</x:v>
      </x:c>
      <x:c r="G23" t="str">
        <x:v>Large</x:v>
      </x:c>
      <x:c r="H23" t="n">
        <x:v>44483</x:v>
      </x:c>
      <x:c r="I23"/>
      <x:c r="J23" t="n">
        <x:v>289500</x:v>
      </x:c>
      <x:c r="K23"/>
      <x:c r="L23" t="n">
        <x:f>D23+E23+F23</x:f>
        <x:v>7</x:v>
      </x:c>
      <x:c r="M23" t="str">
        <x:f>IF(OR(C23="Town",C23="Village"),"Urban","Non-Urban")</x:f>
        <x:v>Non-Urban</x:v>
      </x:c>
      <x:c r="N23" t="str">
        <x:f>PROPER(G23)</x:f>
        <x:v>Large</x:v>
      </x:c>
    </x:row>
    <x:row r="24">
      <x:c r="A24" t="str">
        <x:v>SK13 4DT</x:v>
      </x:c>
      <x:c r="B24" t="str">
        <x:v>Detatched</x:v>
      </x:c>
      <x:c r="C24" t="str">
        <x:v>Countryside</x:v>
      </x:c>
      <x:c r="D24" t="n">
        <x:v>5</x:v>
      </x:c>
      <x:c r="E24" t="n">
        <x:v>2</x:v>
      </x:c>
      <x:c r="F24" t="n">
        <x:v>3</x:v>
      </x:c>
      <x:c r="G24" t="str">
        <x:v>Large</x:v>
      </x:c>
      <x:c r="H24" t="n">
        <x:v>44416</x:v>
      </x:c>
      <x:c r="I24"/>
      <x:c r="J24" t="n">
        <x:v>525750</x:v>
      </x:c>
      <x:c r="K24"/>
      <x:c r="L24" t="n">
        <x:f>D24+E24+F24</x:f>
        <x:v>10</x:v>
      </x:c>
      <x:c r="M24" t="str">
        <x:f>IF(OR(C24="Town",C24="Village"),"Urban","Non-Urban")</x:f>
        <x:v>Non-Urban</x:v>
      </x:c>
      <x:c r="N24" t="str">
        <x:f>PROPER(G24)</x:f>
        <x:v>Large</x:v>
      </x:c>
    </x:row>
    <x:row r="25">
      <x:c r="A25" t="str">
        <x:v>SK13 9SS</x:v>
      </x:c>
      <x:c r="B25" t="str">
        <x:v>Detatched</x:v>
      </x:c>
      <x:c r="C25" t="str">
        <x:v>Town</x:v>
      </x:c>
      <x:c r="D25" t="n">
        <x:v>4</x:v>
      </x:c>
      <x:c r="E25" t="n">
        <x:v>3</x:v>
      </x:c>
      <x:c r="F25" t="n">
        <x:v>2</x:v>
      </x:c>
      <x:c r="G25" t="str">
        <x:v>Medium</x:v>
      </x:c>
      <x:c r="H25" t="n">
        <x:v>44513</x:v>
      </x:c>
      <x:c r="I25" t="n">
        <x:v>44616</x:v>
      </x:c>
      <x:c r="J25" t="n">
        <x:v>495000</x:v>
      </x:c>
      <x:c r="K25" t="n">
        <x:v>495000</x:v>
      </x:c>
      <x:c r="L25" t="n">
        <x:f>D25+E25+F25</x:f>
        <x:v>9</x:v>
      </x:c>
      <x:c r="M25" t="str">
        <x:f>IF(OR(C25="Town",C25="Village"),"Urban","Non-Urban")</x:f>
        <x:v>Urban</x:v>
      </x:c>
      <x:c r="N25" t="str">
        <x:f>PROPER(G25)</x:f>
        <x:v>Medium</x:v>
      </x:c>
    </x:row>
    <x:row r="26">
      <x:c r="A26" t="str">
        <x:v>SK14 6HN</x:v>
      </x:c>
      <x:c r="B26" t="str">
        <x:v>Semi-detatched</x:v>
      </x:c>
      <x:c r="C26" t="str">
        <x:v>Town</x:v>
      </x:c>
      <x:c r="D26" t="n">
        <x:v>3</x:v>
      </x:c>
      <x:c r="E26" t="n">
        <x:v>1</x:v>
      </x:c>
      <x:c r="F26" t="n">
        <x:v>2</x:v>
      </x:c>
      <x:c r="G26" t="str">
        <x:v>Medium</x:v>
      </x:c>
      <x:c r="H26" t="n">
        <x:v>44413</x:v>
      </x:c>
      <x:c r="I26" t="n">
        <x:v>44575</x:v>
      </x:c>
      <x:c r="J26" t="n">
        <x:v>369500</x:v>
      </x:c>
      <x:c r="K26" t="n">
        <x:v>362500</x:v>
      </x:c>
      <x:c r="L26" t="n">
        <x:f>D26+E26+F26</x:f>
        <x:v>6</x:v>
      </x:c>
      <x:c r="M26" t="str">
        <x:f>IF(OR(C26="Town",C26="Village"),"Urban","Non-Urban")</x:f>
        <x:v>Urban</x:v>
      </x:c>
      <x:c r="N26" t="str">
        <x:f>PROPER(G26)</x:f>
        <x:v>Medium</x:v>
      </x:c>
    </x:row>
    <x:row r="27">
      <x:c r="A27" t="str">
        <x:v>SK14 6HN</x:v>
      </x:c>
      <x:c r="B27" t="str">
        <x:v>Semi-detatched</x:v>
      </x:c>
      <x:c r="C27" t="str">
        <x:v>Remote</x:v>
      </x:c>
      <x:c r="D27" t="n">
        <x:v>2</x:v>
      </x:c>
      <x:c r="E27" t="n">
        <x:v>2</x:v>
      </x:c>
      <x:c r="F27" t="n">
        <x:v>1</x:v>
      </x:c>
      <x:c r="G27" t="str">
        <x:v>small</x:v>
      </x:c>
      <x:c r="H27" t="n">
        <x:v>44564</x:v>
      </x:c>
      <x:c r="I27" t="n">
        <x:v>1460</x:v>
      </x:c>
      <x:c r="J27" t="n">
        <x:v>176500</x:v>
      </x:c>
      <x:c r="K27"/>
      <x:c r="L27" t="n">
        <x:f>D27+E27+F27</x:f>
        <x:v>5</x:v>
      </x:c>
      <x:c r="M27" t="str">
        <x:f>IF(OR(C27="Town",C27="Village"),"Urban","Non-Urban")</x:f>
        <x:v>Non-Urban</x:v>
      </x:c>
      <x:c r="N27" t="str">
        <x:f>PROPER(G27)</x:f>
        <x:v>Small</x:v>
      </x:c>
    </x:row>
    <x:row r="28">
      <x:c r="A28" t="str">
        <x:v>SK23 3KM</x:v>
      </x:c>
      <x:c r="B28" t="str">
        <x:v>Terraced</x:v>
      </x:c>
      <x:c r="C28" t="str">
        <x:v>Remote</x:v>
      </x:c>
      <x:c r="D28" t="n">
        <x:v>2</x:v>
      </x:c>
      <x:c r="E28" t="n">
        <x:v>1</x:v>
      </x:c>
      <x:c r="F28" t="n">
        <x:v>1</x:v>
      </x:c>
      <x:c r="G28" t="str">
        <x:v>Small</x:v>
      </x:c>
      <x:c r="H28" t="n">
        <x:v>44440</x:v>
      </x:c>
      <x:c r="I28"/>
      <x:c r="J28" t="n">
        <x:v>142500</x:v>
      </x:c>
      <x:c r="K28"/>
      <x:c r="L28" t="n">
        <x:f>D28+E28+F28</x:f>
        <x:v>4</x:v>
      </x:c>
      <x:c r="M28" t="str">
        <x:f>IF(OR(C28="Town",C28="Village"),"Urban","Non-Urban")</x:f>
        <x:v>Non-Urban</x:v>
      </x:c>
      <x:c r="N28" t="str">
        <x:f>PROPER(G28)</x:f>
        <x:v>Small</x:v>
      </x:c>
    </x:row>
    <x:row r="29">
      <x:c r="A29" t="str">
        <x:v>SK13 6YH</x:v>
      </x:c>
      <x:c r="B29" t="str">
        <x:v>Bungalow</x:v>
      </x:c>
      <x:c r="C29" t="str">
        <x:v>Countryside</x:v>
      </x:c>
      <x:c r="D29" t="n">
        <x:v>3</x:v>
      </x:c>
      <x:c r="E29" t="n">
        <x:v>2</x:v>
      </x:c>
      <x:c r="F29" t="n">
        <x:v>2</x:v>
      </x:c>
      <x:c r="G29" t="str">
        <x:v>Large</x:v>
      </x:c>
      <x:c r="H29" t="n">
        <x:v>44453</x:v>
      </x:c>
      <x:c r="I29" t="n">
        <x:v>44557</x:v>
      </x:c>
      <x:c r="J29" t="n">
        <x:v>415500</x:v>
      </x:c>
      <x:c r="K29" t="n">
        <x:v>419500</x:v>
      </x:c>
      <x:c r="L29" t="n">
        <x:f>D29+E29+F29</x:f>
        <x:v>7</x:v>
      </x:c>
      <x:c r="M29" t="str">
        <x:f>IF(OR(C29="Town",C29="Village"),"Urban","Non-Urban")</x:f>
        <x:v>Non-Urban</x:v>
      </x:c>
      <x:c r="N29" t="str">
        <x:f>PROPER(G29)</x:f>
        <x:v>Large</x:v>
      </x:c>
    </x:row>
    <x:row r="30">
      <x:c r="A30" t="str">
        <x:v>SK23 5WW</x:v>
      </x:c>
      <x:c r="B30" t="str">
        <x:v>Bungalow</x:v>
      </x:c>
      <x:c r="C30" t="str">
        <x:v>Countryside</x:v>
      </x:c>
      <x:c r="D30" t="n">
        <x:v>3</x:v>
      </x:c>
      <x:c r="E30" t="n">
        <x:v>2</x:v>
      </x:c>
      <x:c r="F30" t="n">
        <x:v>2</x:v>
      </x:c>
      <x:c r="G30" t="str">
        <x:v>Large</x:v>
      </x:c>
      <x:c r="H30" t="n">
        <x:v>44485</x:v>
      </x:c>
      <x:c r="I30" t="n">
        <x:v>44604</x:v>
      </x:c>
      <x:c r="J30" t="n">
        <x:v>314250</x:v>
      </x:c>
      <x:c r="K30" t="n">
        <x:v>309750</x:v>
      </x:c>
      <x:c r="L30" t="n">
        <x:f>D30+E30+F30</x:f>
        <x:v>7</x:v>
      </x:c>
      <x:c r="M30" t="str">
        <x:f>IF(OR(C30="Town",C30="Village"),"Urban","Non-Urban")</x:f>
        <x:v>Non-Urban</x:v>
      </x:c>
      <x:c r="N30" t="str">
        <x:f>PROPER(G30)</x:f>
        <x:v>Large</x:v>
      </x:c>
    </x:row>
    <x:row r="31">
      <x:c r="A31" t="str">
        <x:v>SK13 8FS</x:v>
      </x:c>
      <x:c r="B31" t="str">
        <x:v>Terraced</x:v>
      </x:c>
      <x:c r="C31" t="str">
        <x:v>Countryside</x:v>
      </x:c>
      <x:c r="D31" t="n">
        <x:v>2</x:v>
      </x:c>
      <x:c r="E31" t="n">
        <x:v>1</x:v>
      </x:c>
      <x:c r="F31" t="n">
        <x:v>1</x:v>
      </x:c>
      <x:c r="G31" t="str">
        <x:v>Small</x:v>
      </x:c>
      <x:c r="H31" t="n">
        <x:v>44430</x:v>
      </x:c>
      <x:c r="I31"/>
      <x:c r="J31" t="n">
        <x:v>178500</x:v>
      </x:c>
      <x:c r="K31"/>
      <x:c r="L31" t="n">
        <x:f>D31+E31+F31</x:f>
        <x:v>4</x:v>
      </x:c>
      <x:c r="M31" t="str">
        <x:f>IF(OR(C31="Town",C31="Village"),"Urban","Non-Urban")</x:f>
        <x:v>Non-Urban</x:v>
      </x:c>
      <x:c r="N31" t="str">
        <x:f>PROPER(G31)</x:f>
        <x:v>Small</x:v>
      </x:c>
    </x:row>
    <x:row r="32">
      <x:c r="A32" t="str">
        <x:v>SK13 4RL</x:v>
      </x:c>
      <x:c r="B32" t="str">
        <x:v>Semi-detatched</x:v>
      </x:c>
      <x:c r="C32" t="str">
        <x:v>Town</x:v>
      </x:c>
      <x:c r="D32" t="n">
        <x:v>3</x:v>
      </x:c>
      <x:c r="E32" t="n">
        <x:v>2</x:v>
      </x:c>
      <x:c r="F32" t="n">
        <x:v>2</x:v>
      </x:c>
      <x:c r="G32" t="str">
        <x:v>Medium</x:v>
      </x:c>
      <x:c r="H32" t="n">
        <x:v>44571</x:v>
      </x:c>
      <x:c r="I32" t="n">
        <x:v>44616</x:v>
      </x:c>
      <x:c r="J32" t="n">
        <x:v>305000</x:v>
      </x:c>
      <x:c r="K32" t="n">
        <x:v>302750</x:v>
      </x:c>
      <x:c r="L32" t="n">
        <x:f>D32+E32+F32</x:f>
        <x:v>7</x:v>
      </x:c>
      <x:c r="M32" t="str">
        <x:f>IF(OR(C32="Town",C32="Village"),"Urban","Non-Urban")</x:f>
        <x:v>Urban</x:v>
      </x:c>
      <x:c r="N32" t="str">
        <x:f>PROPER(G32)</x:f>
        <x:v>Medium</x:v>
      </x:c>
    </x:row>
    <x:row r="33">
      <x:c r="A33" t="str">
        <x:v>SK14 7YT</x:v>
      </x:c>
      <x:c r="B33" t="str">
        <x:v>Detatched</x:v>
      </x:c>
      <x:c r="C33" t="str">
        <x:v>Remote</x:v>
      </x:c>
      <x:c r="D33" t="n">
        <x:v>4</x:v>
      </x:c>
      <x:c r="E33" t="n">
        <x:v>2</x:v>
      </x:c>
      <x:c r="F33" t="n">
        <x:v>2</x:v>
      </x:c>
      <x:c r="G33" t="str">
        <x:v>Medium</x:v>
      </x:c>
      <x:c r="H33" t="n">
        <x:v>44499</x:v>
      </x:c>
      <x:c r="I33" t="n">
        <x:v>44606</x:v>
      </x:c>
      <x:c r="J33" t="n">
        <x:v>435000</x:v>
      </x:c>
      <x:c r="K33" t="n">
        <x:v>429500</x:v>
      </x:c>
      <x:c r="L33" t="n">
        <x:f>D33+E33+F33</x:f>
        <x:v>8</x:v>
      </x:c>
      <x:c r="M33" t="str">
        <x:f>IF(OR(C33="Town",C33="Village"),"Urban","Non-Urban")</x:f>
        <x:v>Non-Urban</x:v>
      </x:c>
      <x:c r="N33" t="str">
        <x:f>PROPER(G33)</x:f>
        <x:v>Medium</x:v>
      </x:c>
    </x:row>
    <x:row r="34">
      <x:c r="A34" t="str">
        <x:v>SK13 5EE</x:v>
      </x:c>
      <x:c r="B34" t="str">
        <x:v>Semi-detatched</x:v>
      </x:c>
      <x:c r="C34" t="str">
        <x:v>Countryside</x:v>
      </x:c>
      <x:c r="D34" t="n">
        <x:v>3</x:v>
      </x:c>
      <x:c r="E34" t="n">
        <x:v>2</x:v>
      </x:c>
      <x:c r="F34" t="n">
        <x:v>1</x:v>
      </x:c>
      <x:c r="G34" t="str">
        <x:v>Medium</x:v>
      </x:c>
      <x:c r="H34" t="n">
        <x:v>44449</x:v>
      </x:c>
      <x:c r="I34" t="n">
        <x:v>44606</x:v>
      </x:c>
      <x:c r="J34" t="n">
        <x:v>385000</x:v>
      </x:c>
      <x:c r="K34" t="n">
        <x:v>375500</x:v>
      </x:c>
      <x:c r="L34" t="n">
        <x:f>D34+E34+F34</x:f>
        <x:v>6</x:v>
      </x:c>
      <x:c r="M34" t="str">
        <x:f>IF(OR(C34="Town",C34="Village"),"Urban","Non-Urban")</x:f>
        <x:v>Non-Urban</x:v>
      </x:c>
      <x:c r="N34" t="str">
        <x:f>PROPER(G34)</x:f>
        <x:v>Medium</x:v>
      </x:c>
    </x:row>
    <x:row r="35">
      <x:c r="A35" t="str">
        <x:v>SK23 4VS</x:v>
      </x:c>
      <x:c r="B35" t="str">
        <x:v>Detatched</x:v>
      </x:c>
      <x:c r="C35" t="str">
        <x:v>Town</x:v>
      </x:c>
      <x:c r="D35" t="n">
        <x:v>4</x:v>
      </x:c>
      <x:c r="E35" t="n">
        <x:v>1</x:v>
      </x:c>
      <x:c r="F35" t="n">
        <x:v>2</x:v>
      </x:c>
      <x:c r="G35" t="str">
        <x:v>Large</x:v>
      </x:c>
      <x:c r="H35" t="n">
        <x:v>44443</x:v>
      </x:c>
      <x:c r="I35" t="n">
        <x:v>44485</x:v>
      </x:c>
      <x:c r="J35" t="n">
        <x:v>405000</x:v>
      </x:c>
      <x:c r="K35" t="n">
        <x:v>405000</x:v>
      </x:c>
      <x:c r="L35" t="n">
        <x:f>D35+E35+F35</x:f>
        <x:v>7</x:v>
      </x:c>
      <x:c r="M35" t="str">
        <x:f>IF(OR(C35="Town",C35="Village"),"Urban","Non-Urban")</x:f>
        <x:v>Urban</x:v>
      </x:c>
      <x:c r="N35" t="str">
        <x:f>PROPER(G35)</x:f>
        <x:v>Large</x:v>
      </x:c>
    </x:row>
    <x:row r="36">
      <x:c r="A36" t="str">
        <x:v>SK16 8NV</x:v>
      </x:c>
      <x:c r="B36" t="str">
        <x:v>Terraced</x:v>
      </x:c>
      <x:c r="C36" t="str">
        <x:v>Town</x:v>
      </x:c>
      <x:c r="D36" t="n">
        <x:v>2</x:v>
      </x:c>
      <x:c r="E36" t="n">
        <x:v>1</x:v>
      </x:c>
      <x:c r="F36" t="n">
        <x:v>1</x:v>
      </x:c>
      <x:c r="G36" t="str">
        <x:v>Small</x:v>
      </x:c>
      <x:c r="H36" t="n">
        <x:v>44409</x:v>
      </x:c>
      <x:c r="I36" t="n">
        <x:v>44529</x:v>
      </x:c>
      <x:c r="J36" t="n">
        <x:v>159000</x:v>
      </x:c>
      <x:c r="K36" t="n">
        <x:v>158500</x:v>
      </x:c>
      <x:c r="L36" t="n">
        <x:f>D36+E36+F36</x:f>
        <x:v>4</x:v>
      </x:c>
      <x:c r="M36" t="str">
        <x:f>IF(OR(C36="Town",C36="Village"),"Urban","Non-Urban")</x:f>
        <x:v>Urban</x:v>
      </x:c>
      <x:c r="N36" t="str">
        <x:f>PROPER(G36)</x:f>
        <x:v>Small</x:v>
      </x:c>
    </x:row>
    <x:row r="37">
      <x:c r="A37" t="str">
        <x:v>SK14 3DD</x:v>
      </x:c>
      <x:c r="B37" t="str">
        <x:v>Semi-detatched</x:v>
      </x:c>
      <x:c r="C37" t="str">
        <x:v>Town</x:v>
      </x:c>
      <x:c r="D37" t="n">
        <x:v>3</x:v>
      </x:c>
      <x:c r="E37" t="n">
        <x:v>2</x:v>
      </x:c>
      <x:c r="F37" t="n">
        <x:v>2</x:v>
      </x:c>
      <x:c r="G37" t="str">
        <x:v>Medium</x:v>
      </x:c>
      <x:c r="H37" t="n">
        <x:v>44413</x:v>
      </x:c>
      <x:c r="I37" t="n">
        <x:v>44540</x:v>
      </x:c>
      <x:c r="J37" t="n">
        <x:v>278000</x:v>
      </x:c>
      <x:c r="K37" t="n">
        <x:v>276500</x:v>
      </x:c>
      <x:c r="L37" t="n">
        <x:f>D37+E37+F37</x:f>
        <x:v>7</x:v>
      </x:c>
      <x:c r="M37" t="str">
        <x:f>IF(OR(C37="Town",C37="Village"),"Urban","Non-Urban")</x:f>
        <x:v>Urban</x:v>
      </x:c>
      <x:c r="N37" t="str">
        <x:f>PROPER(G37)</x:f>
        <x:v>Medium</x:v>
      </x:c>
    </x:row>
    <x:row r="38">
      <x:c r="A38" t="str">
        <x:v>SK13 4DE</x:v>
      </x:c>
      <x:c r="B38" t="str">
        <x:v>Terraced</x:v>
      </x:c>
      <x:c r="C38" t="str">
        <x:v>Town</x:v>
      </x:c>
      <x:c r="D38" t="n">
        <x:v>2</x:v>
      </x:c>
      <x:c r="E38" t="n">
        <x:v>1</x:v>
      </x:c>
      <x:c r="F38" t="n">
        <x:v>1</x:v>
      </x:c>
      <x:c r="G38" t="str">
        <x:v>Small</x:v>
      </x:c>
      <x:c r="H38" t="n">
        <x:v>44379</x:v>
      </x:c>
      <x:c r="I38" t="n">
        <x:v>44616</x:v>
      </x:c>
      <x:c r="J38" t="n">
        <x:v>178600</x:v>
      </x:c>
      <x:c r="K38" t="n">
        <x:v>175500</x:v>
      </x:c>
      <x:c r="L38" t="n">
        <x:f>D38+E38+F38</x:f>
        <x:v>4</x:v>
      </x:c>
      <x:c r="M38" t="str">
        <x:f>IF(OR(C38="Town",C38="Village"),"Urban","Non-Urban")</x:f>
        <x:v>Urban</x:v>
      </x:c>
      <x:c r="N38" t="str">
        <x:f>PROPER(G38)</x:f>
        <x:v>Small</x:v>
      </x:c>
    </x:row>
    <x:row r="39">
      <x:c r="A39" t="str">
        <x:v>SK13 6LK</x:v>
      </x:c>
      <x:c r="B39" t="str">
        <x:v>Detatched</x:v>
      </x:c>
      <x:c r="C39" t="str">
        <x:v>Countryside</x:v>
      </x:c>
      <x:c r="D39" t="n">
        <x:v>4</x:v>
      </x:c>
      <x:c r="E39" t="n">
        <x:v>2</x:v>
      </x:c>
      <x:c r="F39" t="n">
        <x:v>2</x:v>
      </x:c>
      <x:c r="G39" t="str">
        <x:v>Large</x:v>
      </x:c>
      <x:c r="H39" t="n">
        <x:v>44431</x:v>
      </x:c>
      <x:c r="I39" t="n">
        <x:v>44577</x:v>
      </x:c>
      <x:c r="J39" t="n">
        <x:v>435000</x:v>
      </x:c>
      <x:c r="K39" t="n">
        <x:v>431750</x:v>
      </x:c>
      <x:c r="L39" t="n">
        <x:f>D39+E39+F39</x:f>
        <x:v>8</x:v>
      </x:c>
      <x:c r="M39" t="str">
        <x:f>IF(OR(C39="Town",C39="Village"),"Urban","Non-Urban")</x:f>
        <x:v>Non-Urban</x:v>
      </x:c>
      <x:c r="N39" t="str">
        <x:f>PROPER(G39)</x:f>
        <x:v>Large</x:v>
      </x:c>
    </x:row>
    <x:row r="40">
      <x:c r="A40" t="str">
        <x:v>SK13 9PF</x:v>
      </x:c>
      <x:c r="B40" t="str">
        <x:v>Semi-detatched</x:v>
      </x:c>
      <x:c r="C40" t="str">
        <x:v>Countryside</x:v>
      </x:c>
      <x:c r="D40" t="n">
        <x:v>3</x:v>
      </x:c>
      <x:c r="E40" t="n">
        <x:v>2</x:v>
      </x:c>
      <x:c r="F40" t="n">
        <x:v>2</x:v>
      </x:c>
      <x:c r="G40" t="str">
        <x:v>Medium</x:v>
      </x:c>
      <x:c r="H40" t="n">
        <x:v>44395</x:v>
      </x:c>
      <x:c r="I40" t="n">
        <x:v>44540</x:v>
      </x:c>
      <x:c r="J40" t="n">
        <x:v>345500</x:v>
      </x:c>
      <x:c r="K40" t="n">
        <x:v>342500</x:v>
      </x:c>
      <x:c r="L40" t="n">
        <x:f>D40+E40+F40</x:f>
        <x:v>7</x:v>
      </x:c>
      <x:c r="M40" t="str">
        <x:f>IF(OR(C40="Town",C40="Village"),"Urban","Non-Urban")</x:f>
        <x:v>Non-Urban</x:v>
      </x:c>
      <x:c r="N40" t="str">
        <x:f>PROPER(G40)</x:f>
        <x:v>Medium</x:v>
      </x:c>
    </x:row>
    <x:row r="41">
      <x:c r="A41" t="str">
        <x:v>SK14 8BM</x:v>
      </x:c>
      <x:c r="B41" t="str">
        <x:v>Detatched</x:v>
      </x:c>
      <x:c r="C41" t="str">
        <x:v>Remote</x:v>
      </x:c>
      <x:c r="D41" t="n">
        <x:v>3</x:v>
      </x:c>
      <x:c r="E41" t="n">
        <x:v>2</x:v>
      </x:c>
      <x:c r="F41" t="n">
        <x:v>2</x:v>
      </x:c>
      <x:c r="G41" t="str">
        <x:v>Large</x:v>
      </x:c>
      <x:c r="H41" t="n">
        <x:v>44430</x:v>
      </x:c>
      <x:c r="I41" t="n">
        <x:v>44548</x:v>
      </x:c>
      <x:c r="J41" t="n">
        <x:v>418500</x:v>
      </x:c>
      <x:c r="K41" t="n">
        <x:v>422500</x:v>
      </x:c>
      <x:c r="L41" t="n">
        <x:f>D41+E41+F41</x:f>
        <x:v>7</x:v>
      </x:c>
      <x:c r="M41" t="str">
        <x:f>IF(OR(C41="Town",C41="Village"),"Urban","Non-Urban")</x:f>
        <x:v>Non-Urban</x:v>
      </x:c>
      <x:c r="N41" t="str">
        <x:f>PROPER(G41)</x:f>
        <x:v>Large</x:v>
      </x:c>
    </x:row>
    <x:row r="42">
      <x:c r="A42" t="str">
        <x:v>SK14 6DH</x:v>
      </x:c>
      <x:c r="B42" t="str">
        <x:v>Semi-detatched</x:v>
      </x:c>
      <x:c r="C42" t="str">
        <x:v>Countryside</x:v>
      </x:c>
      <x:c r="D42" t="n">
        <x:v>3</x:v>
      </x:c>
      <x:c r="E42" t="n">
        <x:v>2</x:v>
      </x:c>
      <x:c r="F42" t="n">
        <x:v>2</x:v>
      </x:c>
      <x:c r="G42" t="str">
        <x:v>Medium</x:v>
      </x:c>
      <x:c r="H42" t="n">
        <x:v>44515</x:v>
      </x:c>
      <x:c r="I42"/>
      <x:c r="J42" t="n">
        <x:v>375500</x:v>
      </x:c>
      <x:c r="K42"/>
      <x:c r="L42" t="n">
        <x:f>D42+E42+F42</x:f>
        <x:v>7</x:v>
      </x:c>
      <x:c r="M42" t="str">
        <x:f>IF(OR(C42="Town",C42="Village"),"Urban","Non-Urban")</x:f>
        <x:v>Non-Urban</x:v>
      </x:c>
      <x:c r="N42" t="str">
        <x:f>PROPER(G42)</x:f>
        <x:v>Medium</x:v>
      </x:c>
    </x:row>
    <x:row r="43">
      <x:c r="A43" t="str">
        <x:v>SK13 3SS</x:v>
      </x:c>
      <x:c r="B43" t="str">
        <x:v>Terraced</x:v>
      </x:c>
      <x:c r="C43" t="str">
        <x:v>Town</x:v>
      </x:c>
      <x:c r="D43" t="n">
        <x:v>2</x:v>
      </x:c>
      <x:c r="E43" t="n">
        <x:v>1</x:v>
      </x:c>
      <x:c r="F43" t="n">
        <x:v>1</x:v>
      </x:c>
      <x:c r="G43" t="str">
        <x:v>Small</x:v>
      </x:c>
      <x:c r="H43" t="n">
        <x:v>44471</x:v>
      </x:c>
      <x:c r="I43"/>
      <x:c r="J43" t="n">
        <x:v>169500</x:v>
      </x:c>
      <x:c r="K43"/>
      <x:c r="L43" t="n">
        <x:f>D43+E43+F43</x:f>
        <x:v>4</x:v>
      </x:c>
      <x:c r="M43" t="str">
        <x:f>IF(OR(C43="Town",C43="Village"),"Urban","Non-Urban")</x:f>
        <x:v>Urban</x:v>
      </x:c>
      <x:c r="N43" t="str">
        <x:f>PROPER(G43)</x:f>
        <x:v>Small</x:v>
      </x:c>
    </x:row>
    <x:row r="44">
      <x:c r="A44" t="str">
        <x:v>SK13 6YH</x:v>
      </x:c>
      <x:c r="B44" t="str">
        <x:v>Bungalow</x:v>
      </x:c>
      <x:c r="C44" t="str">
        <x:v>Countryside</x:v>
      </x:c>
      <x:c r="D44" t="n">
        <x:v>3</x:v>
      </x:c>
      <x:c r="E44" t="n">
        <x:v>2</x:v>
      </x:c>
      <x:c r="F44" t="n">
        <x:v>2</x:v>
      </x:c>
      <x:c r="G44" t="str">
        <x:v>Large</x:v>
      </x:c>
      <x:c r="H44" t="n">
        <x:v>44453</x:v>
      </x:c>
      <x:c r="I44" t="n">
        <x:v>44557</x:v>
      </x:c>
      <x:c r="J44" t="n">
        <x:v>415500</x:v>
      </x:c>
      <x:c r="K44" t="n">
        <x:v>419500</x:v>
      </x:c>
      <x:c r="L44" t="n">
        <x:f>D44+E44+F44</x:f>
        <x:v>7</x:v>
      </x:c>
      <x:c r="M44" t="str">
        <x:f>IF(OR(C44="Town",C44="Village"),"Urban","Non-Urban")</x:f>
        <x:v>Non-Urban</x:v>
      </x:c>
      <x:c r="N44" t="str">
        <x:f>PROPER(G44)</x:f>
        <x:v>Large</x:v>
      </x:c>
    </x:row>
    <x:row r="45">
      <x:c r="A45" t="str">
        <x:v>SK13 4AK</x:v>
      </x:c>
      <x:c r="B45" t="str">
        <x:v>Bungalow</x:v>
      </x:c>
      <x:c r="C45" t="str">
        <x:v>Countryside</x:v>
      </x:c>
      <x:c r="D45" t="n">
        <x:v>3</x:v>
      </x:c>
      <x:c r="E45" t="n">
        <x:v>2</x:v>
      </x:c>
      <x:c r="F45" t="n">
        <x:v>2</x:v>
      </x:c>
      <x:c r="G45" t="str">
        <x:v>Large</x:v>
      </x:c>
      <x:c r="H45" t="n">
        <x:v>44422</x:v>
      </x:c>
      <x:c r="I45" t="n">
        <x:v>44587</x:v>
      </x:c>
      <x:c r="J45" t="n">
        <x:v>298500</x:v>
      </x:c>
      <x:c r="K45" t="n">
        <x:v>298500</x:v>
      </x:c>
      <x:c r="L45" t="n">
        <x:f>D45+E45+F45</x:f>
        <x:v>7</x:v>
      </x:c>
      <x:c r="M45" t="str">
        <x:f>IF(OR(C45="Town",C45="Village"),"Urban","Non-Urban")</x:f>
        <x:v>Non-Urban</x:v>
      </x:c>
      <x:c r="N45" t="str">
        <x:f>PROPER(G45)</x:f>
        <x:v>Large</x:v>
      </x:c>
    </x:row>
    <x:row r="46">
      <x:c r="A46" t="str">
        <x:v>SK13 4XC</x:v>
      </x:c>
      <x:c r="B46" t="str">
        <x:v>Semi-detatched</x:v>
      </x:c>
      <x:c r="C46" t="str">
        <x:v>Countryside</x:v>
      </x:c>
      <x:c r="D46" t="n">
        <x:v>3</x:v>
      </x:c>
      <x:c r="E46" t="n">
        <x:v>2</x:v>
      </x:c>
      <x:c r="F46" t="n">
        <x:v>2</x:v>
      </x:c>
      <x:c r="G46" t="str">
        <x:v>Medium</x:v>
      </x:c>
      <x:c r="H46" t="n">
        <x:v>44387</x:v>
      </x:c>
      <x:c r="I46" t="n">
        <x:v>44582</x:v>
      </x:c>
      <x:c r="J46" t="n">
        <x:v>331750</x:v>
      </x:c>
      <x:c r="K46" t="n">
        <x:v>330500</x:v>
      </x:c>
      <x:c r="L46" t="n">
        <x:f>D46+E46+F46</x:f>
        <x:v>7</x:v>
      </x:c>
      <x:c r="M46" t="str">
        <x:f>IF(OR(C46="Town",C46="Village"),"Urban","Non-Urban")</x:f>
        <x:v>Non-Urban</x:v>
      </x:c>
      <x:c r="N46" t="str">
        <x:f>PROPER(G46)</x:f>
        <x:v>Medium</x:v>
      </x:c>
    </x:row>
    <x:row r="47">
      <x:c r="A47" t="str">
        <x:v>SK14 6RL</x:v>
      </x:c>
      <x:c r="B47" t="str">
        <x:v>Detatched</x:v>
      </x:c>
      <x:c r="C47" t="str">
        <x:v>Remote</x:v>
      </x:c>
      <x:c r="D47" t="n">
        <x:v>4</x:v>
      </x:c>
      <x:c r="E47" t="n">
        <x:v>2</x:v>
      </x:c>
      <x:c r="F47" t="n">
        <x:v>2</x:v>
      </x:c>
      <x:c r="G47" t="str">
        <x:v>Medium</x:v>
      </x:c>
      <x:c r="H47" t="n">
        <x:v>44410</x:v>
      </x:c>
      <x:c r="I47" t="n">
        <x:v>44540</x:v>
      </x:c>
      <x:c r="J47" t="n">
        <x:v>385500</x:v>
      </x:c>
      <x:c r="K47" t="n">
        <x:v>383500</x:v>
      </x:c>
      <x:c r="L47" t="n">
        <x:f>D47+E47+F47</x:f>
        <x:v>8</x:v>
      </x:c>
      <x:c r="M47" t="str">
        <x:f>IF(OR(C47="Town",C47="Village"),"Urban","Non-Urban")</x:f>
        <x:v>Non-Urban</x:v>
      </x:c>
      <x:c r="N47" t="str">
        <x:f>PROPER(G47)</x:f>
        <x:v>Medium</x:v>
      </x:c>
    </x:row>
    <x:row r="48">
      <x:c r="A48" t="str">
        <x:v>SK13 7PJ</x:v>
      </x:c>
      <x:c r="B48" t="str">
        <x:v>Semi-detatched</x:v>
      </x:c>
      <x:c r="C48" t="str">
        <x:v>Countryside</x:v>
      </x:c>
      <x:c r="D48" t="n">
        <x:v>3</x:v>
      </x:c>
      <x:c r="E48" t="n">
        <x:v>2</x:v>
      </x:c>
      <x:c r="F48" t="n">
        <x:v>2</x:v>
      </x:c>
      <x:c r="G48" t="str">
        <x:v>Medium</x:v>
      </x:c>
      <x:c r="H48" t="n">
        <x:v>44464</x:v>
      </x:c>
      <x:c r="I48" t="n">
        <x:v>44594</x:v>
      </x:c>
      <x:c r="J48" t="n">
        <x:v>322500</x:v>
      </x:c>
      <x:c r="K48" t="n">
        <x:v>319500</x:v>
      </x:c>
      <x:c r="L48" t="n">
        <x:f>D48+E48+F48</x:f>
        <x:v>7</x:v>
      </x:c>
      <x:c r="M48" t="str">
        <x:f>IF(OR(C48="Town",C48="Village"),"Urban","Non-Urban")</x:f>
        <x:v>Non-Urban</x:v>
      </x:c>
      <x:c r="N48" t="str">
        <x:f>PROPER(G48)</x:f>
        <x:v>Medium</x:v>
      </x:c>
    </x:row>
    <x:row r="49">
      <x:c r="A49" t="str">
        <x:v>SK13 6FD</x:v>
      </x:c>
      <x:c r="B49" t="str">
        <x:v>Semi-detatched</x:v>
      </x:c>
      <x:c r="C49" t="str">
        <x:v>Town</x:v>
      </x:c>
      <x:c r="D49" t="n">
        <x:v>4</x:v>
      </x:c>
      <x:c r="E49" t="n">
        <x:v>2</x:v>
      </x:c>
      <x:c r="F49" t="n">
        <x:v>1</x:v>
      </x:c>
      <x:c r="G49" t="str">
        <x:v>Medium</x:v>
      </x:c>
      <x:c r="H49" t="n">
        <x:v>44412</x:v>
      </x:c>
      <x:c r="I49" t="n">
        <x:v>44515</x:v>
      </x:c>
      <x:c r="J49" t="n">
        <x:v>365500</x:v>
      </x:c>
      <x:c r="K49" t="n">
        <x:v>365500</x:v>
      </x:c>
      <x:c r="L49" t="n">
        <x:f>D49+E49+F49</x:f>
        <x:v>7</x:v>
      </x:c>
      <x:c r="M49" t="str">
        <x:f>IF(OR(C49="Town",C49="Village"),"Urban","Non-Urban")</x:f>
        <x:v>Urban</x:v>
      </x:c>
      <x:c r="N49" t="str">
        <x:f>PROPER(G49)</x:f>
        <x:v>Medium</x:v>
      </x:c>
    </x:row>
    <x:row r="50">
      <x:c r="A50" t="str">
        <x:v>SK14 3FD</x:v>
      </x:c>
      <x:c r="B50" t="str">
        <x:v>Detatched</x:v>
      </x:c>
      <x:c r="C50" t="str">
        <x:v>Town</x:v>
      </x:c>
      <x:c r="D50" t="n">
        <x:v>3</x:v>
      </x:c>
      <x:c r="E50" t="n">
        <x:v>1</x:v>
      </x:c>
      <x:c r="F50" t="n">
        <x:v>2</x:v>
      </x:c>
      <x:c r="G50" t="str">
        <x:v>Small</x:v>
      </x:c>
      <x:c r="H50" t="n">
        <x:v>44390</x:v>
      </x:c>
      <x:c r="I50"/>
      <x:c r="J50" t="n">
        <x:v>312750</x:v>
      </x:c>
      <x:c r="K50"/>
      <x:c r="L50" t="n">
        <x:f>D50+E50+F50</x:f>
        <x:v>6</x:v>
      </x:c>
      <x:c r="M50" t="str">
        <x:f>IF(OR(C50="Town",C50="Village"),"Urban","Non-Urban")</x:f>
        <x:v>Urban</x:v>
      </x:c>
      <x:c r="N50" t="str">
        <x:f>PROPER(G50)</x:f>
        <x:v>Small</x:v>
      </x:c>
    </x:row>
    <x:row r="51">
      <x:c r="A51" t="str">
        <x:v>SK13 2WD</x:v>
      </x:c>
      <x:c r="B51" t="str">
        <x:v>Detatched</x:v>
      </x:c>
      <x:c r="C51" t="str">
        <x:v>Town</x:v>
      </x:c>
      <x:c r="D51" t="n">
        <x:v>3</x:v>
      </x:c>
      <x:c r="E51" t="n">
        <x:v>2</x:v>
      </x:c>
      <x:c r="F51" t="n">
        <x:v>2</x:v>
      </x:c>
      <x:c r="G51" t="str">
        <x:v>Medium</x:v>
      </x:c>
      <x:c r="H51" t="n">
        <x:v>44370</x:v>
      </x:c>
      <x:c r="I51" t="n">
        <x:v>44564</x:v>
      </x:c>
      <x:c r="J51" t="n">
        <x:v>309500</x:v>
      </x:c>
      <x:c r="K51" t="n">
        <x:v>304500</x:v>
      </x:c>
      <x:c r="L51" t="n">
        <x:f>D51+E51+F51</x:f>
        <x:v>7</x:v>
      </x:c>
      <x:c r="M51" t="str">
        <x:f>IF(OR(C51="Town",C51="Village"),"Urban","Non-Urban")</x:f>
        <x:v>Urban</x:v>
      </x:c>
      <x:c r="N51" t="str">
        <x:f>PROPER(G51)</x:f>
        <x:v>Medium</x:v>
      </x:c>
    </x:row>
    <x:row r="52">
      <x:c r="A52" t="str">
        <x:v>SK22 1XV</x:v>
      </x:c>
      <x:c r="B52" t="str">
        <x:v>Terraced</x:v>
      </x:c>
      <x:c r="C52" t="str">
        <x:v>Countryside</x:v>
      </x:c>
      <x:c r="D52" t="n">
        <x:v>2</x:v>
      </x:c>
      <x:c r="E52" t="n">
        <x:v>1</x:v>
      </x:c>
      <x:c r="F52" t="n">
        <x:v>1</x:v>
      </x:c>
      <x:c r="G52" t="str">
        <x:v>Small</x:v>
      </x:c>
      <x:c r="H52" t="n">
        <x:v>44483</x:v>
      </x:c>
      <x:c r="I52" t="n">
        <x:v>44596</x:v>
      </x:c>
      <x:c r="J52" t="n">
        <x:v>204500</x:v>
      </x:c>
      <x:c r="K52" t="n">
        <x:v>203900</x:v>
      </x:c>
      <x:c r="L52" t="n">
        <x:f>D52+E52+F52</x:f>
        <x:v>4</x:v>
      </x:c>
      <x:c r="M52" t="str">
        <x:f>IF(OR(C52="Town",C52="Village"),"Urban","Non-Urban")</x:f>
        <x:v>Non-Urban</x:v>
      </x:c>
      <x:c r="N52" t="str">
        <x:f>PROPER(G52)</x:f>
        <x:v>Small</x:v>
      </x:c>
    </x:row>
    <x:row r="53">
      <x:c r="A53" t="str">
        <x:v>SK13 5LS</x:v>
      </x:c>
      <x:c r="B53" t="str">
        <x:v>Semi-detatched</x:v>
      </x:c>
      <x:c r="C53" t="str">
        <x:v>Town</x:v>
      </x:c>
      <x:c r="D53" t="n">
        <x:v>3</x:v>
      </x:c>
      <x:c r="E53" t="n">
        <x:v>2</x:v>
      </x:c>
      <x:c r="F53" t="n">
        <x:v>2</x:v>
      </x:c>
      <x:c r="G53" t="str">
        <x:v>Medium</x:v>
      </x:c>
      <x:c r="H53" t="n">
        <x:v>44380</x:v>
      </x:c>
      <x:c r="I53"/>
      <x:c r="J53" t="n">
        <x:v>225500</x:v>
      </x:c>
      <x:c r="K53"/>
      <x:c r="L53" t="n">
        <x:f>D53+E53+F53</x:f>
        <x:v>7</x:v>
      </x:c>
      <x:c r="M53" t="str">
        <x:f>IF(OR(C53="Town",C53="Village"),"Urban","Non-Urban")</x:f>
        <x:v>Urban</x:v>
      </x:c>
      <x:c r="N53" t="str">
        <x:f>PROPER(G53)</x:f>
        <x:v>Medium</x:v>
      </x:c>
    </x:row>
    <x:row r="54">
      <x:c r="A54" t="str">
        <x:v>SK13 6YH</x:v>
      </x:c>
      <x:c r="B54" t="str">
        <x:v>Bungalow</x:v>
      </x:c>
      <x:c r="C54" t="str">
        <x:v>Countryside</x:v>
      </x:c>
      <x:c r="D54" t="n">
        <x:v>3</x:v>
      </x:c>
      <x:c r="E54" t="n">
        <x:v>2</x:v>
      </x:c>
      <x:c r="F54" t="n">
        <x:v>2</x:v>
      </x:c>
      <x:c r="G54" t="str">
        <x:v>Large</x:v>
      </x:c>
      <x:c r="H54" t="n">
        <x:v>44453</x:v>
      </x:c>
      <x:c r="I54" t="n">
        <x:v>44557</x:v>
      </x:c>
      <x:c r="J54" t="n">
        <x:v>415500</x:v>
      </x:c>
      <x:c r="K54" t="n">
        <x:v>419500</x:v>
      </x:c>
      <x:c r="L54" t="n">
        <x:f>D54+E54+F54</x:f>
        <x:v>7</x:v>
      </x:c>
      <x:c r="M54" t="str">
        <x:f>IF(OR(C54="Town",C54="Village"),"Urban","Non-Urban")</x:f>
        <x:v>Non-Urban</x:v>
      </x:c>
      <x:c r="N54" t="str">
        <x:f>PROPER(G54)</x:f>
        <x:v>Large</x:v>
      </x:c>
    </x:row>
    <x:row r="55">
      <x:c r="A55" t="str">
        <x:v>SK13 6HH</x:v>
      </x:c>
      <x:c r="B55" t="str">
        <x:v>Semi-detatched</x:v>
      </x:c>
      <x:c r="C55" t="str">
        <x:v>Countryside</x:v>
      </x:c>
      <x:c r="D55" t="n">
        <x:v>2</x:v>
      </x:c>
      <x:c r="E55" t="n">
        <x:v>2</x:v>
      </x:c>
      <x:c r="F55" t="n">
        <x:v>2</x:v>
      </x:c>
      <x:c r="G55" t="str">
        <x:v>Medium</x:v>
      </x:c>
      <x:c r="H55" t="n">
        <x:v>44439</x:v>
      </x:c>
      <x:c r="I55" t="n">
        <x:v>44473</x:v>
      </x:c>
      <x:c r="J55" t="n">
        <x:v>209500</x:v>
      </x:c>
      <x:c r="K55" t="n">
        <x:v>209500</x:v>
      </x:c>
      <x:c r="L55" t="n">
        <x:f>D55+E55+F55</x:f>
        <x:v>6</x:v>
      </x:c>
      <x:c r="M55" t="str">
        <x:f>IF(OR(C55="Town",C55="Village"),"Urban","Non-Urban")</x:f>
        <x:v>Non-Urban</x:v>
      </x:c>
      <x:c r="N55" t="str">
        <x:f>PROPER(G55)</x:f>
        <x:v>Medium</x:v>
      </x:c>
    </x:row>
    <x:row r="56">
      <x:c r="A56" t="str">
        <x:v>SK14 8GP</x:v>
      </x:c>
      <x:c r="B56" t="str">
        <x:v>Bungalow</x:v>
      </x:c>
      <x:c r="C56" t="str">
        <x:v>Remote</x:v>
      </x:c>
      <x:c r="D56" t="n">
        <x:v>3</x:v>
      </x:c>
      <x:c r="E56" t="n">
        <x:v>2</x:v>
      </x:c>
      <x:c r="F56" t="n">
        <x:v>2</x:v>
      </x:c>
      <x:c r="G56" t="str">
        <x:v>Large</x:v>
      </x:c>
      <x:c r="H56" t="n">
        <x:v>44480</x:v>
      </x:c>
      <x:c r="I56" t="n">
        <x:v>44575</x:v>
      </x:c>
      <x:c r="J56" t="n">
        <x:v>272500</x:v>
      </x:c>
      <x:c r="K56" t="n">
        <x:v>271500</x:v>
      </x:c>
      <x:c r="L56" t="n">
        <x:f>D56+E56+F56</x:f>
        <x:v>7</x:v>
      </x:c>
      <x:c r="M56" t="str">
        <x:f>IF(OR(C56="Town",C56="Village"),"Urban","Non-Urban")</x:f>
        <x:v>Non-Urban</x:v>
      </x:c>
      <x:c r="N56" t="str">
        <x:f>PROPER(G56)</x:f>
        <x:v>Large</x:v>
      </x:c>
    </x:row>
    <x:row r="57">
      <x:c r="A57" t="str">
        <x:v>SK15 6YW</x:v>
      </x:c>
      <x:c r="B57" t="str">
        <x:v>Detatched</x:v>
      </x:c>
      <x:c r="C57" t="str">
        <x:v>Countryside</x:v>
      </x:c>
      <x:c r="D57" t="n">
        <x:v>4</x:v>
      </x:c>
      <x:c r="E57" t="n">
        <x:v>2</x:v>
      </x:c>
      <x:c r="F57" t="n">
        <x:v>2</x:v>
      </x:c>
      <x:c r="G57" t="str">
        <x:v>Large</x:v>
      </x:c>
      <x:c r="H57" t="n">
        <x:v>44498</x:v>
      </x:c>
      <x:c r="I57" t="n">
        <x:v>44616</x:v>
      </x:c>
      <x:c r="J57" t="n">
        <x:v>389500</x:v>
      </x:c>
      <x:c r="K57" t="n">
        <x:v>395000</x:v>
      </x:c>
      <x:c r="L57" t="n">
        <x:f>D57+E57+F57</x:f>
        <x:v>8</x:v>
      </x:c>
      <x:c r="M57" t="str">
        <x:f>IF(OR(C57="Town",C57="Village"),"Urban","Non-Urban")</x:f>
        <x:v>Non-Urban</x:v>
      </x:c>
      <x:c r="N57" t="str">
        <x:f>PROPER(G57)</x:f>
        <x:v>Large</x:v>
      </x:c>
    </x:row>
    <x:row r="58">
      <x:c r="A58" t="str">
        <x:v>SK13 4DD</x:v>
      </x:c>
      <x:c r="B58" t="str">
        <x:v>Semi-detatched</x:v>
      </x:c>
      <x:c r="C58" t="str">
        <x:v>Town</x:v>
      </x:c>
      <x:c r="D58" t="n">
        <x:v>3</x:v>
      </x:c>
      <x:c r="E58" t="n">
        <x:v>2</x:v>
      </x:c>
      <x:c r="F58" t="n">
        <x:v>1</x:v>
      </x:c>
      <x:c r="G58" t="str">
        <x:v>Medium</x:v>
      </x:c>
      <x:c r="H58" t="n">
        <x:v>44352</x:v>
      </x:c>
      <x:c r="I58" t="n">
        <x:v>44583</x:v>
      </x:c>
      <x:c r="J58" t="n">
        <x:v>348500</x:v>
      </x:c>
      <x:c r="K58" t="n">
        <x:v>349500</x:v>
      </x:c>
      <x:c r="L58" t="n">
        <x:f>D58+E58+F58</x:f>
        <x:v>6</x:v>
      </x:c>
      <x:c r="M58" t="str">
        <x:f>IF(OR(C58="Town",C58="Village"),"Urban","Non-Urban")</x:f>
        <x:v>Urban</x:v>
      </x:c>
      <x:c r="N58" t="str">
        <x:f>PROPER(G58)</x:f>
        <x:v>Medium</x:v>
      </x:c>
    </x:row>
    <x:row r="59">
      <x:c r="A59" t="str">
        <x:v>SK13 4RF</x:v>
      </x:c>
      <x:c r="B59" t="str">
        <x:v>Bungalow</x:v>
      </x:c>
      <x:c r="C59" t="str">
        <x:v>Town</x:v>
      </x:c>
      <x:c r="D59" t="n">
        <x:v>2</x:v>
      </x:c>
      <x:c r="E59" t="n">
        <x:v>1</x:v>
      </x:c>
      <x:c r="F59" t="n">
        <x:v>1</x:v>
      </x:c>
      <x:c r="G59" t="str">
        <x:v>Small</x:v>
      </x:c>
      <x:c r="H59" t="n">
        <x:v>44592</x:v>
      </x:c>
      <x:c r="I59" t="n">
        <x:v>44634</x:v>
      </x:c>
      <x:c r="J59" t="n">
        <x:v>299950</x:v>
      </x:c>
      <x:c r="K59" t="n">
        <x:v>299950</x:v>
      </x:c>
      <x:c r="L59" t="n">
        <x:f>D59+E59+F59</x:f>
        <x:v>4</x:v>
      </x:c>
      <x:c r="M59" t="str">
        <x:f>IF(OR(C59="Town",C59="Village"),"Urban","Non-Urban")</x:f>
        <x:v>Urban</x:v>
      </x:c>
      <x:c r="N59" t="str">
        <x:f>PROPER(G59)</x:f>
        <x:v>Small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fa21767170c4540"/>
  <x:tableParts count="1">
    <x:tablePart xmlns:r="http://schemas.openxmlformats.org/officeDocument/2006/relationships" r:id="R673401d2c33c4c1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4.12999725341797" hidden="0" customWidth="1"/>
    <x:col min="2" max="2" width="38" hidden="0" customWidth="1"/>
    <x:col min="3" max="3" width="12.880000114440918" hidden="0" customWidth="1"/>
    <x:col min="4" max="4" width="10.25" hidden="0" customWidth="1"/>
    <x:col min="5" max="5" width="8.380000114440918" hidden="0" customWidth="1"/>
    <x:col min="6" max="6" width="10.75" hidden="0" customWidth="1"/>
    <x:col min="7" max="7" width="20.6299991607666" hidden="0" customWidth="1"/>
    <x:col min="8" max="8" width="10.25" hidden="0" customWidth="1"/>
    <x:col min="9" max="9" width="10.25" hidden="0" customWidth="1"/>
    <x:col min="10" max="10" width="10.880000114440918" hidden="0" customWidth="1"/>
    <x:col min="11" max="11" width="8.880000114440918" hidden="0" customWidth="1"/>
    <x:col min="12" max="12" width="10.75" hidden="0" customWidth="1"/>
    <x:col min="13" max="13" width="12.880000114440918" hidden="0" customWidth="1"/>
    <x:col min="14" max="14" width="11.630000114440918" hidden="0" customWidth="1"/>
  </x:cols>
  <x:sheetData>
    <x:row r="1">
      <x:c r="A1" s="5" t="str">
        <x:v>Exercise 5 — Australasian Films (Australia + New Zealand)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3" t="str">
        <x:v>ID</x:v>
      </x:c>
      <x:c r="B3" s="13" t="str">
        <x:v>Title</x:v>
      </x:c>
      <x:c r="C3" s="13" t="str">
        <x:v>Release Date</x:v>
      </x:c>
      <x:c r="D3" s="13" t="str">
        <x:v>Run Time</x:v>
      </x:c>
      <x:c r="E3" s="13" t="str">
        <x:v>Genre</x:v>
      </x:c>
      <x:c r="F3" s="13" t="str">
        <x:v>Director</x:v>
      </x:c>
      <x:c r="G3" s="13" t="str">
        <x:v>Studio</x:v>
      </x:c>
      <x:c r="H3" s="13" t="str">
        <x:v>Country</x:v>
      </x:c>
      <x:c r="I3" s="13" t="str">
        <x:v>Language</x:v>
      </x:c>
      <x:c r="J3" s="13" t="str">
        <x:v>Certificate</x:v>
      </x:c>
      <x:c r="K3" s="13" t="str">
        <x:v>Budget</x:v>
      </x:c>
      <x:c r="L3" s="13" t="str">
        <x:v>Box Office</x:v>
      </x:c>
      <x:c r="M3" s="13" t="str">
        <x:v>Nominations</x:v>
      </x:c>
      <x:c r="N3" s="13" t="str">
        <x:v>Oscar Wins</x:v>
      </x:c>
      <x:c r="P3" s="13" t="str">
        <x:v>Country Slicer (result)</x:v>
      </x:c>
      <x:c r="Q3" s="13" t="str">
        <x:v>Included</x:v>
      </x:c>
    </x:row>
    <x:row r="4">
      <x:c r="A4" t="n">
        <x:v>3</x:v>
      </x:c>
      <x:c r="B4" t="str">
        <x:v>King Kong</x:v>
      </x:c>
      <x:c r="C4" t="n">
        <x:v>38700</x:v>
      </x:c>
      <x:c r="D4" t="n">
        <x:v>187</x:v>
      </x:c>
      <x:c r="E4" t="str">
        <x:v>Adventure</x:v>
      </x:c>
      <x:c r="F4" t="str">
        <x:v>Peter Jackson</x:v>
      </x:c>
      <x:c r="G4" t="str">
        <x:v>WingNut Films</x:v>
      </x:c>
      <x:c r="H4" t="str">
        <x:v>New Zealand</x:v>
      </x:c>
      <x:c r="I4" t="str">
        <x:v>English</x:v>
      </x:c>
      <x:c r="J4" t="str">
        <x:v>12A</x:v>
      </x:c>
      <x:c r="K4" t="n">
        <x:v>207000000</x:v>
      </x:c>
      <x:c r="L4" t="n">
        <x:v>550500000</x:v>
      </x:c>
      <x:c r="M4" t="n">
        <x:v>4</x:v>
      </x:c>
      <x:c r="N4" t="n">
        <x:v>3</x:v>
      </x:c>
      <x:c r="P4" s="29" t="str">
        <x:v>Australia</x:v>
      </x:c>
      <x:c r="Q4" t="str">
        <x:v>Yes</x:v>
      </x:c>
    </x:row>
    <x:row r="5">
      <x:c r="A5" t="n">
        <x:v>59</x:v>
      </x:c>
      <x:c r="B5" t="str">
        <x:v>The Lord of the Rings: Fellowship of the Ring</x:v>
      </x:c>
      <x:c r="C5" t="n">
        <x:v>37244</x:v>
      </x:c>
      <x:c r="D5" t="n">
        <x:v>178</x:v>
      </x:c>
      <x:c r="E5" t="str">
        <x:v>Fantasy</x:v>
      </x:c>
      <x:c r="F5" t="str">
        <x:v>Peter Jackson</x:v>
      </x:c>
      <x:c r="G5" t="str">
        <x:v>WingNut Films</x:v>
      </x:c>
      <x:c r="H5" t="str">
        <x:v>New Zealand</x:v>
      </x:c>
      <x:c r="I5" t="str">
        <x:v>English</x:v>
      </x:c>
      <x:c r="J5" t="str">
        <x:v>PG</x:v>
      </x:c>
      <x:c r="K5" t="n">
        <x:v>93000000</x:v>
      </x:c>
      <x:c r="L5" t="n">
        <x:v>871530324</x:v>
      </x:c>
      <x:c r="M5" t="n">
        <x:v>13</x:v>
      </x:c>
      <x:c r="N5" t="n">
        <x:v>4</x:v>
      </x:c>
      <x:c r="P5" s="29" t="str">
        <x:v>New Zealand</x:v>
      </x:c>
      <x:c r="Q5" t="str">
        <x:v>Yes</x:v>
      </x:c>
    </x:row>
    <x:row r="6">
      <x:c r="A6" t="n">
        <x:v>73</x:v>
      </x:c>
      <x:c r="B6" t="str">
        <x:v>The Lord of the Rings: Return of the King</x:v>
      </x:c>
      <x:c r="C6" t="n">
        <x:v>37972</x:v>
      </x:c>
      <x:c r="D6" t="n">
        <x:v>201</x:v>
      </x:c>
      <x:c r="E6" t="str">
        <x:v>Fantasy</x:v>
      </x:c>
      <x:c r="F6" t="str">
        <x:v>Peter Jackson</x:v>
      </x:c>
      <x:c r="G6" t="str">
        <x:v>WingNut Films</x:v>
      </x:c>
      <x:c r="H6" t="str">
        <x:v>New Zealand</x:v>
      </x:c>
      <x:c r="I6" t="str">
        <x:v>English</x:v>
      </x:c>
      <x:c r="J6" t="str">
        <x:v>12A</x:v>
      </x:c>
      <x:c r="K6" t="n">
        <x:v>94000000</x:v>
      </x:c>
      <x:c r="L6" t="n">
        <x:v>1119929521</x:v>
      </x:c>
      <x:c r="M6" t="n">
        <x:v>11</x:v>
      </x:c>
      <x:c r="N6" t="n">
        <x:v>11</x:v>
      </x:c>
      <x:c r="P6" s="29" t="str">
        <x:v>Other countries</x:v>
      </x:c>
      <x:c r="Q6" t="str">
        <x:v>No</x:v>
      </x:c>
    </x:row>
    <x:row r="7">
      <x:c r="A7" t="n">
        <x:v>74</x:v>
      </x:c>
      <x:c r="B7" t="str">
        <x:v>The Lord of the Rings: The Two Towers</x:v>
      </x:c>
      <x:c r="C7" t="n">
        <x:v>37608</x:v>
      </x:c>
      <x:c r="D7" t="n">
        <x:v>179</x:v>
      </x:c>
      <x:c r="E7" t="str">
        <x:v>Fantasy</x:v>
      </x:c>
      <x:c r="F7" t="str">
        <x:v>Peter Jackson</x:v>
      </x:c>
      <x:c r="G7" t="str">
        <x:v>WingNut Films</x:v>
      </x:c>
      <x:c r="H7" t="str">
        <x:v>New Zealand</x:v>
      </x:c>
      <x:c r="I7" t="str">
        <x:v>English</x:v>
      </x:c>
      <x:c r="J7" t="str">
        <x:v>12A</x:v>
      </x:c>
      <x:c r="K7" t="n">
        <x:v>94000000</x:v>
      </x:c>
      <x:c r="L7" t="n">
        <x:v>926047111</x:v>
      </x:c>
      <x:c r="M7" t="n">
        <x:v>6</x:v>
      </x:c>
      <x:c r="N7" t="n">
        <x:v>2</x:v>
      </x:c>
    </x:row>
    <x:row r="8">
      <x:c r="A8" t="n">
        <x:v>265</x:v>
      </x:c>
      <x:c r="B8" t="str">
        <x:v>Once Were Warriors</x:v>
      </x:c>
      <x:c r="C8" t="n">
        <x:v>34803</x:v>
      </x:c>
      <x:c r="D8" t="n">
        <x:v>102</x:v>
      </x:c>
      <x:c r="E8" t="str">
        <x:v>Drama</x:v>
      </x:c>
      <x:c r="F8" t="str">
        <x:v>Lee Tamahori</x:v>
      </x:c>
      <x:c r="G8" t="str">
        <x:v>Communicado Productions</x:v>
      </x:c>
      <x:c r="H8" t="str">
        <x:v>New Zealand</x:v>
      </x:c>
      <x:c r="I8" t="str">
        <x:v>English</x:v>
      </x:c>
      <x:c r="J8" t="n">
        <x:v>18</x:v>
      </x:c>
      <x:c r="K8" t="n">
        <x:v>1000000</x:v>
      </x:c>
      <x:c r="L8" t="n">
        <x:v>1608570</x:v>
      </x:c>
      <x:c r="M8" t="n">
        <x:v>0</x:v>
      </x:c>
      <x:c r="N8" t="n">
        <x:v>0</x:v>
      </x:c>
    </x:row>
    <x:row r="9">
      <x:c r="A9" t="n">
        <x:v>271</x:v>
      </x:c>
      <x:c r="B9" t="str">
        <x:v>The Hobbit: The Battle of the Five Armies</x:v>
      </x:c>
      <x:c r="C9" t="n">
        <x:v>41974</x:v>
      </x:c>
      <x:c r="D9" t="n">
        <x:v>174</x:v>
      </x:c>
      <x:c r="E9" t="str">
        <x:v>Fantasy</x:v>
      </x:c>
      <x:c r="F9" t="str">
        <x:v>Peter Jackson</x:v>
      </x:c>
      <x:c r="G9" t="str">
        <x:v>New Line Cinema</x:v>
      </x:c>
      <x:c r="H9" t="str">
        <x:v>New Zealand</x:v>
      </x:c>
      <x:c r="I9" t="str">
        <x:v>English</x:v>
      </x:c>
      <x:c r="J9" t="str">
        <x:v>12A</x:v>
      </x:c>
      <x:c r="K9" t="n">
        <x:v>250000000</x:v>
      </x:c>
      <x:c r="L9" t="n">
        <x:v>955100000</x:v>
      </x:c>
      <x:c r="M9" t="n">
        <x:v>1</x:v>
      </x:c>
      <x:c r="N9" t="n">
        <x:v>0</x:v>
      </x:c>
    </x:row>
    <x:row r="10">
      <x:c r="A10" t="n">
        <x:v>283</x:v>
      </x:c>
      <x:c r="B10" t="str">
        <x:v>The Hobbit: The Desolation of Smaug</x:v>
      </x:c>
      <x:c r="C10" t="n">
        <x:v>41621</x:v>
      </x:c>
      <x:c r="D10" t="n">
        <x:v>161</x:v>
      </x:c>
      <x:c r="E10" t="str">
        <x:v>Fantasy</x:v>
      </x:c>
      <x:c r="F10" t="str">
        <x:v>Peter Jackson</x:v>
      </x:c>
      <x:c r="G10" t="str">
        <x:v>WingNut Films</x:v>
      </x:c>
      <x:c r="H10" t="str">
        <x:v>New Zealand</x:v>
      </x:c>
      <x:c r="I10" t="str">
        <x:v>English</x:v>
      </x:c>
      <x:c r="J10" t="str">
        <x:v>12A</x:v>
      </x:c>
      <x:c r="K10" t="n">
        <x:v>225000000</x:v>
      </x:c>
      <x:c r="L10" t="n">
        <x:v>958400000</x:v>
      </x:c>
      <x:c r="M10" t="n">
        <x:v>3</x:v>
      </x:c>
      <x:c r="N10" t="n">
        <x:v>0</x:v>
      </x:c>
    </x:row>
    <x:row r="11">
      <x:c r="A11" t="n">
        <x:v>293</x:v>
      </x:c>
      <x:c r="B11" t="str">
        <x:v>The Hobbit: An Unexpected Journey</x:v>
      </x:c>
      <x:c r="C11" t="n">
        <x:v>41257</x:v>
      </x:c>
      <x:c r="D11" t="n">
        <x:v>169</x:v>
      </x:c>
      <x:c r="E11" t="str">
        <x:v>Fantasy</x:v>
      </x:c>
      <x:c r="F11" t="str">
        <x:v>Peter Jackson</x:v>
      </x:c>
      <x:c r="G11" t="str">
        <x:v>WingNut Films</x:v>
      </x:c>
      <x:c r="H11" t="str">
        <x:v>New Zealand</x:v>
      </x:c>
      <x:c r="I11" t="str">
        <x:v>English</x:v>
      </x:c>
      <x:c r="J11" t="str">
        <x:v>12A</x:v>
      </x:c>
      <x:c r="K11" t="n">
        <x:v>200000000</x:v>
      </x:c>
      <x:c r="L11" t="n">
        <x:v>1021000000</x:v>
      </x:c>
      <x:c r="M11" t="n">
        <x:v>3</x:v>
      </x:c>
      <x:c r="N11" t="n">
        <x:v>0</x:v>
      </x:c>
    </x:row>
    <x:row r="12">
      <x:c r="A12" t="n">
        <x:v>345</x:v>
      </x:c>
      <x:c r="B12" t="str">
        <x:v>Happy Feet</x:v>
      </x:c>
      <x:c r="C12" t="n">
        <x:v>39038</x:v>
      </x:c>
      <x:c r="D12" t="n">
        <x:v>108</x:v>
      </x:c>
      <x:c r="E12" t="str">
        <x:v>Animation</x:v>
      </x:c>
      <x:c r="F12" t="str">
        <x:v>George Miller</x:v>
      </x:c>
      <x:c r="G12" t="str">
        <x:v>Village Roadshow Pictures</x:v>
      </x:c>
      <x:c r="H12" t="str">
        <x:v>Australia</x:v>
      </x:c>
      <x:c r="I12" t="str">
        <x:v>English</x:v>
      </x:c>
      <x:c r="J12" t="str">
        <x:v>U</x:v>
      </x:c>
      <x:c r="K12" t="n">
        <x:v>100000000</x:v>
      </x:c>
      <x:c r="L12" t="n">
        <x:v>384300000</x:v>
      </x:c>
      <x:c r="M12" t="n">
        <x:v>1</x:v>
      </x:c>
      <x:c r="N12" t="n">
        <x:v>1</x:v>
      </x:c>
    </x:row>
    <x:row r="13">
      <x:c r="A13" t="n">
        <x:v>441</x:v>
      </x:c>
      <x:c r="B13" t="str">
        <x:v>Crocodile Dundee II</x:v>
      </x:c>
      <x:c r="C13" t="n">
        <x:v>32288</x:v>
      </x:c>
      <x:c r="D13" t="n">
        <x:v>112</x:v>
      </x:c>
      <x:c r="E13" t="str">
        <x:v>Adventure</x:v>
      </x:c>
      <x:c r="F13" t="str">
        <x:v>John Cornell</x:v>
      </x:c>
      <x:c r="G13" t="str">
        <x:v>Paramount Pictures</x:v>
      </x:c>
      <x:c r="H13" t="str">
        <x:v>Australia</x:v>
      </x:c>
      <x:c r="I13" t="str">
        <x:v>English</x:v>
      </x:c>
      <x:c r="J13" t="str">
        <x:v>PG</x:v>
      </x:c>
      <x:c r="K13" t="n">
        <x:v>14000000</x:v>
      </x:c>
      <x:c r="L13" t="n">
        <x:v>239600000</x:v>
      </x:c>
      <x:c r="M13" t="n">
        <x:v>0</x:v>
      </x:c>
      <x:c r="N13" t="n">
        <x:v>0</x:v>
      </x:c>
    </x:row>
    <x:row r="14">
      <x:c r="A14" t="n">
        <x:v>454</x:v>
      </x:c>
      <x:c r="B14" t="str">
        <x:v>Crocodile Dundee</x:v>
      </x:c>
      <x:c r="C14" t="n">
        <x:v>31681</x:v>
      </x:c>
      <x:c r="D14" t="n">
        <x:v>98</x:v>
      </x:c>
      <x:c r="E14" t="str">
        <x:v>Comedy</x:v>
      </x:c>
      <x:c r="F14" t="str">
        <x:v>Peter Faiman</x:v>
      </x:c>
      <x:c r="G14" t="str">
        <x:v>Rimfire Films</x:v>
      </x:c>
      <x:c r="H14" t="str">
        <x:v>Australia</x:v>
      </x:c>
      <x:c r="I14" t="str">
        <x:v>English</x:v>
      </x:c>
      <x:c r="J14" t="n">
        <x:v>15</x:v>
      </x:c>
      <x:c r="K14" t="n">
        <x:v>8800000</x:v>
      </x:c>
      <x:c r="L14" t="n">
        <x:v>328000000</x:v>
      </x:c>
      <x:c r="M14" t="n">
        <x:v>1</x:v>
      </x:c>
      <x:c r="N14" t="n">
        <x:v>0</x:v>
      </x:c>
    </x:row>
    <x:row r="15">
      <x:c r="A15" t="n">
        <x:v>1490</x:v>
      </x:c>
      <x:c r="B15" t="str">
        <x:v>Mad Max</x:v>
      </x:c>
      <x:c r="C15" t="n">
        <x:v>28957</x:v>
      </x:c>
      <x:c r="D15" t="n">
        <x:v>93</x:v>
      </x:c>
      <x:c r="E15" t="str">
        <x:v>Action</x:v>
      </x:c>
      <x:c r="F15" t="str">
        <x:v>George Miller</x:v>
      </x:c>
      <x:c r="G15" t="str">
        <x:v>Kennedy Miller</x:v>
      </x:c>
      <x:c r="H15" t="str">
        <x:v>Australia</x:v>
      </x:c>
      <x:c r="I15" t="str">
        <x:v>English</x:v>
      </x:c>
      <x:c r="J15" t="n">
        <x:v>18</x:v>
      </x:c>
      <x:c r="K15" t="n">
        <x:v>400000</x:v>
      </x:c>
      <x:c r="L15" t="n">
        <x:v>100000000</x:v>
      </x:c>
      <x:c r="M15" t="n">
        <x:v>0</x:v>
      </x:c>
      <x:c r="N15" t="n">
        <x:v>0</x:v>
      </x:c>
    </x:row>
    <x:row r="16">
      <x:c r="A16" t="n">
        <x:v>1491</x:v>
      </x:c>
      <x:c r="B16" t="str">
        <x:v>Mad Max 2</x:v>
      </x:c>
      <x:c r="C16" t="n">
        <x:v>29944</x:v>
      </x:c>
      <x:c r="D16" t="n">
        <x:v>96</x:v>
      </x:c>
      <x:c r="E16" t="str">
        <x:v>Action</x:v>
      </x:c>
      <x:c r="F16" t="str">
        <x:v>George Miller</x:v>
      </x:c>
      <x:c r="G16" t="str">
        <x:v>Kennedy Miller</x:v>
      </x:c>
      <x:c r="H16" t="str">
        <x:v>Australia</x:v>
      </x:c>
      <x:c r="I16" t="str">
        <x:v>English</x:v>
      </x:c>
      <x:c r="J16" t="n">
        <x:v>18</x:v>
      </x:c>
      <x:c r="K16" t="n">
        <x:v>4500000</x:v>
      </x:c>
      <x:c r="L16" t="n">
        <x:v>23700000</x:v>
      </x:c>
      <x:c r="M16" t="n">
        <x:v>0</x:v>
      </x:c>
      <x:c r="N16" t="n">
        <x:v>0</x:v>
      </x:c>
    </x:row>
    <x:row r="17">
      <x:c r="A17" t="n">
        <x:v>1492</x:v>
      </x:c>
      <x:c r="B17" t="str">
        <x:v>Mad Max Beyond Thunderdome</x:v>
      </x:c>
      <x:c r="C17" t="n">
        <x:v>31238</x:v>
      </x:c>
      <x:c r="D17" t="n">
        <x:v>107</x:v>
      </x:c>
      <x:c r="E17" t="str">
        <x:v>Action</x:v>
      </x:c>
      <x:c r="F17" t="str">
        <x:v>George Miller</x:v>
      </x:c>
      <x:c r="G17" t="str">
        <x:v>Kennedy Miller</x:v>
      </x:c>
      <x:c r="H17" t="str">
        <x:v>Australia</x:v>
      </x:c>
      <x:c r="I17" t="str">
        <x:v>English</x:v>
      </x:c>
      <x:c r="J17" t="n">
        <x:v>15</x:v>
      </x:c>
      <x:c r="K17" t="n">
        <x:v>10000000</x:v>
      </x:c>
      <x:c r="L17" t="n">
        <x:v>36200000</x:v>
      </x:c>
      <x:c r="M17" t="n">
        <x:v>0</x:v>
      </x:c>
      <x:c r="N17" t="n">
        <x:v>0</x:v>
      </x:c>
    </x:row>
    <x:row r="18">
      <x:c r="A18" t="n">
        <x:v>1493</x:v>
      </x:c>
      <x:c r="B18" t="str">
        <x:v>Mad Max: Fury Road</x:v>
      </x:c>
      <x:c r="C18" t="n">
        <x:v>42131</x:v>
      </x:c>
      <x:c r="D18" t="n">
        <x:v>120</x:v>
      </x:c>
      <x:c r="E18" t="str">
        <x:v>Action</x:v>
      </x:c>
      <x:c r="F18" t="str">
        <x:v>George Miller</x:v>
      </x:c>
      <x:c r="G18" t="str">
        <x:v>Kennedy Miller</x:v>
      </x:c>
      <x:c r="H18" t="str">
        <x:v>Australia</x:v>
      </x:c>
      <x:c r="I18" t="str">
        <x:v>English</x:v>
      </x:c>
      <x:c r="J18" t="n">
        <x:v>15</x:v>
      </x:c>
      <x:c r="K18" t="n">
        <x:v>150000000</x:v>
      </x:c>
      <x:c r="L18" t="n">
        <x:v>378400000</x:v>
      </x:c>
      <x:c r="M18" t="n">
        <x:v>10</x:v>
      </x:c>
      <x:c r="N18" t="n">
        <x:v>6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6c7f29964bf45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6.62999725341797" hidden="0" customWidth="1"/>
    <x:col min="2" max="2" width="15.630000114440918" hidden="0" customWidth="1"/>
    <x:col min="4" max="4" width="17.5" hidden="0" customWidth="1"/>
    <x:col min="5" max="5" width="7.25" hidden="0" customWidth="1"/>
  </x:cols>
  <x:sheetData>
    <x:row r="1">
      <x:c r="A1" s="5" t="str">
        <x:v>Exercise 5 — Average Oscar Wins by Certificate (Australasia)</x:v>
      </x:c>
      <x:c r="B1" s="5"/>
      <x:c r="C1" s="5"/>
      <x:c r="D1" s="5"/>
      <x:c r="E1" s="5"/>
      <x:c r="F1" s="5"/>
    </x:row>
    <x:row r="3">
      <x:c r="A3" s="13" t="str">
        <x:v>Certificate</x:v>
      </x:c>
      <x:c r="B3" s="13" t="str">
        <x:v>Average Oscar Wins</x:v>
      </x:c>
      <x:c r="D3" s="13" t="str">
        <x:v>Applied Country Slicer</x:v>
      </x:c>
      <x:c r="E3" s="13" t="str">
        <x:v>Status</x:v>
      </x:c>
    </x:row>
    <x:row r="4">
      <x:c r="A4" t="str">
        <x:v>12</x:v>
      </x:c>
      <x:c r="B4" s="22"/>
      <x:c r="D4" s="29" t="str">
        <x:v>Australia</x:v>
      </x:c>
      <x:c r="E4" t="str">
        <x:v>Selected</x:v>
      </x:c>
    </x:row>
    <x:row r="5">
      <x:c r="A5" t="str">
        <x:v>12A</x:v>
      </x:c>
      <x:c r="B5" s="22" t="n">
        <x:v>2.6666666666666665</x:v>
      </x:c>
      <x:c r="D5" s="29" t="str">
        <x:v>New Zealand</x:v>
      </x:c>
      <x:c r="E5" t="str">
        <x:v>Selected</x:v>
      </x:c>
    </x:row>
    <x:row r="6">
      <x:c r="A6" t="str">
        <x:v>15</x:v>
      </x:c>
      <x:c r="B6" s="22" t="n">
        <x:v>2</x:v>
      </x:c>
      <x:c r="D6" s="29" t="str">
        <x:v>All other countries</x:v>
      </x:c>
      <x:c r="E6" t="str">
        <x:v>Excluded</x:v>
      </x:c>
    </x:row>
    <x:row r="7">
      <x:c r="A7" t="str">
        <x:v>18</x:v>
      </x:c>
      <x:c r="B7" s="22" t="n">
        <x:v>0</x:v>
      </x:c>
    </x:row>
    <x:row r="8">
      <x:c r="A8" t="str">
        <x:v>PG</x:v>
      </x:c>
      <x:c r="B8" s="22" t="n">
        <x:v>2</x:v>
      </x:c>
    </x:row>
    <x:row r="9">
      <x:c r="A9" t="str">
        <x:v>U</x:v>
      </x:c>
      <x:c r="B9" s="22" t="n">
        <x:v>1</x:v>
      </x:c>
    </x:row>
    <x:row r="10">
      <x:c r="A10" t="str">
        <x:v>Unknown</x:v>
      </x:c>
      <x:c r="B10" s="2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da7bd288f224f41"/>
</x:worksheet>
</file>